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Projet LuxDev\Lux dev BF\Clôture Projet LuxDev\"/>
    </mc:Choice>
  </mc:AlternateContent>
  <xr:revisionPtr revIDLastSave="0" documentId="13_ncr:1_{7D30300A-51A7-4362-8646-222A6B1508C5}" xr6:coauthVersionLast="47" xr6:coauthVersionMax="47" xr10:uidLastSave="{00000000-0000-0000-0000-000000000000}"/>
  <bookViews>
    <workbookView xWindow="-110" yWindow="-110" windowWidth="19420" windowHeight="11020" xr2:uid="{094B0F52-E1A4-47D9-A703-5688727B3EA4}"/>
  </bookViews>
  <sheets>
    <sheet name="Feuil1" sheetId="1" r:id="rId1"/>
    <sheet name="Feuil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2" i="1" l="1"/>
  <c r="Q22" i="1"/>
  <c r="O22" i="1"/>
  <c r="R21" i="1"/>
  <c r="Q21" i="1"/>
  <c r="P21" i="1"/>
  <c r="O21" i="1"/>
  <c r="R20" i="1"/>
  <c r="Q20" i="1"/>
  <c r="P20" i="1"/>
  <c r="O20" i="1"/>
  <c r="R19" i="1"/>
  <c r="Q19" i="1"/>
  <c r="P19" i="1"/>
  <c r="O19" i="1"/>
  <c r="R18" i="1"/>
  <c r="Q18" i="1"/>
  <c r="P18" i="1"/>
  <c r="O18" i="1"/>
  <c r="R17" i="1"/>
  <c r="Q17" i="1"/>
  <c r="P17" i="1"/>
  <c r="O17" i="1"/>
  <c r="R16" i="1"/>
  <c r="O16" i="1" s="1"/>
  <c r="Q16" i="1"/>
  <c r="P16" i="1"/>
  <c r="R15" i="1"/>
  <c r="Q15" i="1"/>
  <c r="P15" i="1"/>
  <c r="O15" i="1"/>
  <c r="R14" i="1"/>
  <c r="O14" i="1" s="1"/>
  <c r="Q14" i="1"/>
  <c r="P14" i="1"/>
  <c r="R13" i="1"/>
  <c r="Q13" i="1"/>
  <c r="P13" i="1"/>
  <c r="O13" i="1"/>
  <c r="R12" i="1"/>
  <c r="O12" i="1" s="1"/>
  <c r="Q12" i="1"/>
  <c r="P12" i="1"/>
  <c r="R11" i="1"/>
  <c r="Q11" i="1"/>
  <c r="P11" i="1"/>
  <c r="O11" i="1"/>
  <c r="R10" i="1"/>
  <c r="Q10" i="1"/>
  <c r="P10" i="1"/>
  <c r="O10" i="1"/>
  <c r="R9" i="1"/>
  <c r="P9" i="1"/>
  <c r="O9" i="1"/>
  <c r="R8" i="1"/>
  <c r="Q8" i="1"/>
  <c r="P8" i="1"/>
  <c r="O8" i="1"/>
  <c r="R7" i="1"/>
  <c r="Q7" i="1"/>
  <c r="P7" i="1"/>
  <c r="O7" i="1"/>
  <c r="R6" i="1"/>
  <c r="Q6" i="1"/>
  <c r="P6" i="1"/>
  <c r="O6" i="1"/>
  <c r="R5" i="1"/>
  <c r="Q5" i="1"/>
  <c r="P5" i="1"/>
  <c r="O5" i="1"/>
  <c r="R4" i="1"/>
  <c r="P4" i="1"/>
  <c r="O4" i="1"/>
  <c r="R3" i="1"/>
  <c r="Q3" i="1"/>
  <c r="P3" i="1"/>
  <c r="O3" i="1"/>
</calcChain>
</file>

<file path=xl/sharedStrings.xml><?xml version="1.0" encoding="utf-8"?>
<sst xmlns="http://schemas.openxmlformats.org/spreadsheetml/2006/main" count="191" uniqueCount="123">
  <si>
    <t>Rayon Bio</t>
  </si>
  <si>
    <t>Neebnooma</t>
  </si>
  <si>
    <t>Burkina Green Energy-Electric SARL</t>
  </si>
  <si>
    <t>Réseau des producteurs de beurre de karité des hauts bassins et cascades (RPBHC)</t>
  </si>
  <si>
    <t>Agrisol-BF</t>
  </si>
  <si>
    <t>TECO2</t>
  </si>
  <si>
    <t>Africa Energy Solar (AES)</t>
  </si>
  <si>
    <t>Rose Eclat</t>
  </si>
  <si>
    <t>POCERAM Group</t>
  </si>
  <si>
    <t>ZIBDON</t>
  </si>
  <si>
    <t>BEOGO Néré</t>
  </si>
  <si>
    <t>FARAFINA Engeneering</t>
  </si>
  <si>
    <t>Faso Attiéké</t>
  </si>
  <si>
    <t xml:space="preserve">INNO FASO </t>
  </si>
  <si>
    <t>TELADO Building</t>
  </si>
  <si>
    <t xml:space="preserve">MOABLAOU </t>
  </si>
  <si>
    <t>3T SERVICES</t>
  </si>
  <si>
    <t xml:space="preserve">Zi-Matériaux </t>
  </si>
  <si>
    <t>Activités principales</t>
  </si>
  <si>
    <t>Noms des PME/PMI</t>
  </si>
  <si>
    <t>Entreprise Vision d'Afrique (EVA)</t>
  </si>
  <si>
    <t>ODD contribués</t>
  </si>
  <si>
    <t>Politiques existentes</t>
  </si>
  <si>
    <t>Nombre d'employés</t>
  </si>
  <si>
    <t>%CDI</t>
  </si>
  <si>
    <t>%CDD</t>
  </si>
  <si>
    <t xml:space="preserve">Achats locaux </t>
  </si>
  <si>
    <t xml:space="preserve">M3 d'eau consommée </t>
  </si>
  <si>
    <t xml:space="preserve">L de carburant </t>
  </si>
  <si>
    <t xml:space="preserve">% Du solaire </t>
  </si>
  <si>
    <t>Emissions totales</t>
  </si>
  <si>
    <t>Emissions scope 1</t>
  </si>
  <si>
    <t>Emissions scope 2</t>
  </si>
  <si>
    <t>Emissions scope 3</t>
  </si>
  <si>
    <t xml:space="preserve">Volume ou poids totale de déchets </t>
  </si>
  <si>
    <t xml:space="preserve">Volumes compostés ou méthanisées </t>
  </si>
  <si>
    <t xml:space="preserve">Initiative de valorisation des déchets </t>
  </si>
  <si>
    <t>Cajudium</t>
  </si>
  <si>
    <t>Spécialisée dans la transformation de produits agroalimentaires et de produits forestiers non ligneux (PFNL)</t>
  </si>
  <si>
    <t>Transformation agroalimentaire de mangues séchées</t>
  </si>
  <si>
    <t>1, 2,8, 9, 12, 13</t>
  </si>
  <si>
    <t>Politique RSE</t>
  </si>
  <si>
    <t>Tous les employés sont saisonniers</t>
  </si>
  <si>
    <t>Néant</t>
  </si>
  <si>
    <t>Transformation et commercialisation une gamme variée de produits à base des riz national sous la marque AMIR.</t>
  </si>
  <si>
    <t>Politique RH
Politique RSE</t>
  </si>
  <si>
    <t>1,2,8,9,12,13</t>
  </si>
  <si>
    <t>_</t>
  </si>
  <si>
    <t>1,2,7,9,8,11,12,13</t>
  </si>
  <si>
    <t>Spécialisée dans les services électriques et énergétiques</t>
  </si>
  <si>
    <t>Gouvernance</t>
  </si>
  <si>
    <t>Social</t>
  </si>
  <si>
    <t>Communautés</t>
  </si>
  <si>
    <t>Volume des prestations</t>
  </si>
  <si>
    <t>Environnement</t>
  </si>
  <si>
    <t>Généralité</t>
  </si>
  <si>
    <t>1,5,8,12,15</t>
  </si>
  <si>
    <t>Collecte et transformation les noix de karité en du beurre biologique</t>
  </si>
  <si>
    <t>Politique RH
Politique RSE
Politique SST
Politique environnementale
Politiue qualité</t>
  </si>
  <si>
    <t xml:space="preserve">% de temporaire/Nombre de temporaire </t>
  </si>
  <si>
    <t>Transformation des matières organiques telles que les fientes de volaille, la bouse et les copeaux de bois en intrants agricoles de qualité</t>
  </si>
  <si>
    <t xml:space="preserve">1,2,12, 13, 15 </t>
  </si>
  <si>
    <t>Spécialisée en gestion durable des déchets, notamment les déchets plastiques</t>
  </si>
  <si>
    <t>1,8,9,11,12,13</t>
  </si>
  <si>
    <t>Politique RH
Politique SST
Politique RSE</t>
  </si>
  <si>
    <t>Active dans l’énergie solaire photovoltaïque pour l'électrification on grid et off grid, le pompage solaire pour l’eau potable et l’irrigation agricole, la cuisson par induction solaire et la mobilité électrique</t>
  </si>
  <si>
    <t xml:space="preserve">Politique RH
Politique SST
Politique RSE
Politique Lutte contre le harcèlement sexuel
Politique genre, 
Code de conduite, d’éthique et de déontologique </t>
  </si>
  <si>
    <t>1,2,5,8,9,12,17</t>
  </si>
  <si>
    <t>Transformation de fruits et légumes dont le cœur de métier est le séchage</t>
  </si>
  <si>
    <t>Politique RH
Politique RSE
Politiue qualité</t>
  </si>
  <si>
    <t xml:space="preserve">Production de foyers améliorés et des briques en terre cuite/céramique </t>
  </si>
  <si>
    <t>7,8,9,11,12,13</t>
  </si>
  <si>
    <t>Politique anti-fraude 
Politique environnementale
Politiques de confidentialité 
Politique RH
Politique RSE</t>
  </si>
  <si>
    <t xml:space="preserve">Conception des toilettes écologiques à faible consommation d’eau ou sans vidange, grâce à des technologies comme BIOFIL (bio‑digesteur inodore, non vidangeable) et MICROFLASH </t>
  </si>
  <si>
    <t>3,6,8,9,11,12,13</t>
  </si>
  <si>
    <t>Transformation et commercialisation du beurre de karité</t>
  </si>
  <si>
    <t>Politique de lutte contre la corruption
Politique RSE</t>
  </si>
  <si>
    <t>Spécialisée dans les solutions d’accès à l’énergie solaire et à l’eau autonome, destinées aux ménages, producteurs et organisations</t>
  </si>
  <si>
    <t>Transformation et la commercialisation de produits traditionnels comme l’attiéké, en valorisant les ressources locales et les savoir-faire burkinabè</t>
  </si>
  <si>
    <t>Produit des aliments nutritionnels pour lutter contre la malnutrition infantile</t>
  </si>
  <si>
    <t>Intervient dans le domaine des énergies renouvelables plus précisément dans le secteur du Biodigesteur</t>
  </si>
  <si>
    <t>1,2,3,7,8,9,12,13</t>
  </si>
  <si>
    <t xml:space="preserve"> Spécialisée dans l’élevage, l’abattage, la transformation et la commercialisation de volailles au Burkina Faso</t>
  </si>
  <si>
    <t>1,2,3,8,9,12</t>
  </si>
  <si>
    <t>Politique SST
Politique RSE
Politique RH</t>
  </si>
  <si>
    <t>Politique SST
Politique RSE</t>
  </si>
  <si>
    <t>Valorisation des déchets organiques issus d’abattoirs, notamment les contenus de panses animales, en vue de produire de la fumure organique et des engrais biologiques</t>
  </si>
  <si>
    <t>14 journaliers</t>
  </si>
  <si>
    <t>production et la promotion de Matériaux de construction locaux, tels que les briques en terre comprimée (BTC), les pavés, les tuiles, ainsi que d’autres produits destinés à la construction</t>
  </si>
  <si>
    <t>Politique SST
Politique RSE
Politique RH
Politique environnementale</t>
  </si>
  <si>
    <t>1,3,8,9,11,12,13</t>
  </si>
  <si>
    <t>Transformation de l’anacarde en une gamme variée de produits alimentaires innovants et savoureux : noix épicées, noix sucrées ou salées, jus naturels, cocktails, et autres</t>
  </si>
  <si>
    <t>1,2,5,8,9,12</t>
  </si>
  <si>
    <r>
      <t xml:space="preserve">70 </t>
    </r>
    <r>
      <rPr>
        <sz val="11"/>
        <color theme="1"/>
        <rFont val="Calibri"/>
        <family val="2"/>
        <scheme val="minor"/>
      </rPr>
      <t>temporaires</t>
    </r>
  </si>
  <si>
    <r>
      <t xml:space="preserve">60 </t>
    </r>
    <r>
      <rPr>
        <sz val="11"/>
        <color theme="1"/>
        <rFont val="Calibri"/>
        <family val="2"/>
        <scheme val="minor"/>
      </rPr>
      <t>temporaires</t>
    </r>
  </si>
  <si>
    <r>
      <t xml:space="preserve">61 </t>
    </r>
    <r>
      <rPr>
        <sz val="11"/>
        <color theme="1"/>
        <rFont val="Calibri"/>
        <family val="2"/>
        <scheme val="minor"/>
      </rPr>
      <t>temporaires</t>
    </r>
  </si>
  <si>
    <t>76 temporaires</t>
  </si>
  <si>
    <t xml:space="preserve">Néant </t>
  </si>
  <si>
    <t>Plus de 85%</t>
  </si>
  <si>
    <t>25 à 35%</t>
  </si>
  <si>
    <t>2,3,8,9,12,17</t>
  </si>
  <si>
    <t>1,8,9,12,13,15,17</t>
  </si>
  <si>
    <t>Politique SST
Politique qualité
Politique RSE</t>
  </si>
  <si>
    <t xml:space="preserve">Politique RH
Politique SST
Politique RSE
Politique qualité
</t>
  </si>
  <si>
    <t xml:space="preserve">Créé en 2014, l'entreprise EVA est dans la production de jus de fruits en saveurs variés du terroir.
Elle a été accompagnée à un meilleur positionnement marketing de sa marque et possède aujourd’hui une politique RSE.
</t>
  </si>
  <si>
    <t xml:space="preserve">L'entreprise est dans le séchage et commercialisation de mangues.
Dans le cadre du Programme, elle a été accompagnée au verdissement des séchoirs d’une unité de séchage de mangues alimenté par un groupe électrogène diesel à travers l’installation d’un système solaire photovoltaïque 
</t>
  </si>
  <si>
    <t xml:space="preserve">L'entreprise produit et transforme du riz local. Elle totalise 8 ans d’expérience dans ce domaine.
Dans le cadre du Programme, la Rizerie Nebnooma Sarl a été accompagnée à la formulation de nouveaux riz prêts à la cuisson. Il y a notamment du riz précuit au soumbala, à l’anis vert et au clou de girofle
</t>
  </si>
  <si>
    <t xml:space="preserve">Situé à Bobo-Dioulaso, Burkina Green Energy Electric est spécialisé dans le secteur de l’énergie solaire et couvre tout le territoire burkinabè. Parmi ses services, la PME propose :
- le dimensionnement et l’installation de systèmes solaires ;
- la production d'énergie électrique à partir du solaire PV et des groupes électrogènes ;
- le transport et la distribution d'énergie électrique (SONABEL)
- la vente et l’installation de matériels électrique et électronique.
BGE a été accompagnée à l’élaboration d’une stratégie marketing, sa mise en conformité environnementale et sociale et l’évaluation de son empreinte carbone.
</t>
  </si>
  <si>
    <t xml:space="preserve">Agrisol BF valorise des déchets organiques (excréments animaux) en intrants agricole
L’entreprise commercialise également des semences, matériels et outils agricoles. Elle a été accompagnée à l'accroissement de la capacité de production du compost biologique à travers la mécanisation des opérations de broyage des matières premières pour répondre à l’extension de l’unité de production et à l’augmentation des besoins en engrais biologiques du marché
</t>
  </si>
  <si>
    <t>Créée en 2018, TECO² (Toiture ECOlogique &amp; ECOnomique) est une entreprise de valorisation des déchets plastiques dans la production des tables bancs pour les salles de classe, des meubles et bureaux, des balises de sécurités, des toitures et tuiles et de salles de classes préfabriquées. Produits phares de l’entreprise, les tables bancs constituent plus de 70 % de la production et du chiffre d’affaires de l’entreprise, avec une forte dépendance de la clientèle institutionnelle. Les ONG et institutions gouvernementaux représentent 90% du marché de l’entreprise. Toutefois, les activités de production de l’entreprise restent manuelles et l’entreprise peine à honorer ses grosses commandes.
Dans le cadre du programme d’accompagnement TECO2 à la diversification de sa clientèle à travers la mise en place d’une stratégie marketing et communication ciblée.</t>
  </si>
  <si>
    <t xml:space="preserve">Africa Energy Solaire (Aes-Sarl) est une entreprise de vulgarisation de l’énergie solaire créée en 2009. Elle offre des services variés : la fabrication et l’assemblage des équipements solaires, la conception, le dimensionnement et l’installation d’infrastructures énergétiques pour la production d’énergie en agriculture (pompage, irrigation, …), la conception et production d’équipements de transformation et stockage en agroalimentaire (séchage, réfrigération, …). Elle est également dans la production de chaleur pour la cuisson ou le nettoyage (cuiseur solaire, chauffe-eau solaire, etc.) et la mobilité électrique.
Dans le cadre du programme d’accompagnement, Africa Energy Solaire (Aes-Sarl) a été accompagné au positionnement de son cuiseur solaire et à la définition d’un modèle économique pour la commercialisation de ce produit durable et innovant.
</t>
  </si>
  <si>
    <t>L'entreprise évolue dans le domaine de l’agroalimentaire. Elle transforme les fruits et légumes en produits séchés, le produit principal est la mangue séchée, il y a la banane, le coco, l’ananas…</t>
  </si>
  <si>
    <t>Créée en 2008, Poceram Briquetterie est une entreprise dans le domaine de l’éco-construction qui produit des briques en terre cuite (céramiques), des foyers améliorés et des foyers économes institutionnels. Elle est également dans la production de fours, grilleurs et fumoirs économes.
Dans le cadre du programme d’accompagnement, Poceram Briquetterie a été accompagnée au verdissement de son activité de production par la réduction de 50% des besoins énergétiques des fours de production de céramique</t>
  </si>
  <si>
    <t xml:space="preserve">Créée en 2019, Zibdon Ecoservices est une entreprise de valorisation des déchets dont l'activité principale est la réalisation des toilettes à compostage, plus précisément des toilettes de type Biofil, qui permettent de transformer les déchets humains en compost.
Dans le cadre du programme d’accompagnement, Zibdon Ecoservices a été accompagné à valoriser les boues de vidange des fosses biofil dans la formulation d’un engrais organique adapté à l’amendement des céréales et du fourrage. </t>
  </si>
  <si>
    <t xml:space="preserve">L’Union des Sociétés Coopératives Béogo Néeré (USCBN) créée en 2019 est une entreprise dans le domaine de la transformation des produits forestiers non ligneux qui transforme des amandes de Karité en beurre de Karité, savon et produits cosmétiques (crème corporelle, pommade de cheveux, …)
Dans le cadre du programme d’accompagnement, l’USCBN a été accompagnée à l’amélioration de la qualité de son beurre de karité et à la mise en conformité selon la NBF.
</t>
  </si>
  <si>
    <t>Créée en 2017, Farafina Eco Engineering est une entreprise de vulgarisation de l’énergie solaire à travers le dimensionnement et l’installation d’infrastructures énergétiques pour la production d’énergie en agriculture (pompage, irrigation, …). Elle est également dans la conception et production d’équipements de transformation et stockage en agroalimentaire (séchage, réfrigération, …)
Dans le cadre du programme d’accompagnement, Farafina Eco Engineering a expérimenté la valorisation des conteneurs usagers dans l’éco-conception et l’installation de Green Business center.</t>
  </si>
  <si>
    <t xml:space="preserve">Totalisant 13 ans d’expérience, Faso Atieké transforme le manioc en atiéké, farine et autres.
Dans le cadre du Programme, elle a été accompagnée à l’acquisition d’un biodigesteur.
</t>
  </si>
  <si>
    <t xml:space="preserve">Créée en 2011, l'activité principale de l'entreprise est la production de solutions nutritionnelles pour lutter contre la malnutrition des enfants. Elle a été accompanée à la valorisation des déchets d’arachides issus de processus de production dans la formulation d’aliment (embouche) pour petits ruminants 
</t>
  </si>
  <si>
    <t xml:space="preserve">Créée en 2021, Telado Global Building Bio est une entreprise dans le domaine de la valorisation des déchets à travers la production de compost et l’installation de biodigesteurs.
Dans le cadre du programme d’accompagnement, Telado Global Building Bio a été accompagné à la standardisation de sa production d’engrais biologiques à travers l’installation d’un biodigesteur et d’un forage. 
</t>
  </si>
  <si>
    <t xml:space="preserve">Evoluant dans la valorisation des déchets, l'entreprise est dans la production et vente de la volaille, la production et vente d'œufs, la production et vente d'aliments pour volaille et la production et ventre de fiente de poule brute
</t>
  </si>
  <si>
    <t xml:space="preserve">Elle est dans la production d’engrais (compost, lixiviat) Production et vente de fumure organique à base de déchets d’abattoir.
L'entreprise produit la fumure organique standard (Somme de NPK Inferieur à 5) et l’engrais organique (Somme de NPK supérieur ou égal à 5). Dans le cadre du Programme, elle a été accompagnée à la mise en conformité règlementaire d’une unité de compostage par la construction de 3 box de compostage pour l’imperméabilisation des sites l’infiltration
</t>
  </si>
  <si>
    <t xml:space="preserve">Avec une expérience de 12 ans, Zi Matériaux produit et distribue des matériaux de construction (briques en terre compressée, pavés, parpins…)
L’entreprise a été accompagné à l’optimisation de ces processus et procédures de fabrication.
</t>
  </si>
  <si>
    <t xml:space="preserve">Elle transforme et la commercialise des sous-produits de l’anacarde. Les produits sont les jus de cajou ( 
Nature, Cocktail cajou- mangue / Cocktail cajou – gingembre /Cocktail cajou – mangue – gingembre / 
Cocktail cajou – orange), vinaigre de cajou. 
Ellecommercialise également des amuse-bouche de cajou (Croquette de noix salée, de noix caramélisée, de noix nougat, de noix épicée). Dans le cadre du programme, elle a été accompagnée à la mise en conformité d’une unité de production de vinaigre alimentaire à travers l’installation d’un système de production en acier inoxydable et l’optimisation du procédé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</si>
</sst>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b/>
      <sz val="12"/>
      <color theme="1"/>
      <name val="Calibri"/>
      <family val="2"/>
      <scheme val="minor"/>
    </font>
    <font>
      <sz val="11"/>
      <color theme="1"/>
      <name val="Symbol"/>
      <family val="1"/>
      <charset val="2"/>
    </font>
    <font>
      <b/>
      <sz val="11"/>
      <color theme="1"/>
      <name val="Arial"/>
      <family val="2"/>
    </font>
    <font>
      <b/>
      <u/>
      <sz val="11"/>
      <color theme="1"/>
      <name val="Arial"/>
      <family val="2"/>
    </font>
    <font>
      <sz val="8"/>
      <name val="Calibri"/>
      <family val="2"/>
      <scheme val="minor"/>
    </font>
    <font>
      <sz val="11"/>
      <color theme="0"/>
      <name val="Calibri"/>
      <family val="2"/>
      <scheme val="minor"/>
    </font>
    <font>
      <sz val="12"/>
      <color theme="1"/>
      <name val="Times New Roman"/>
      <family val="1"/>
    </font>
    <font>
      <sz val="11"/>
      <color theme="1"/>
      <name val="Times New Roman"/>
      <family val="1"/>
    </font>
    <font>
      <sz val="11"/>
      <color theme="1"/>
      <name val="Arial"/>
      <family val="2"/>
    </font>
    <font>
      <sz val="10"/>
      <color theme="1"/>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9"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45">
    <xf numFmtId="0" fontId="0" fillId="0" borderId="0" xfId="0"/>
    <xf numFmtId="0" fontId="0" fillId="0" borderId="1" xfId="0" applyBorder="1" applyAlignment="1">
      <alignment horizontal="center" vertical="center" wrapText="1"/>
    </xf>
    <xf numFmtId="0" fontId="2" fillId="2" borderId="1"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xf numFmtId="0" fontId="3" fillId="0" borderId="1" xfId="0" applyFont="1" applyBorder="1" applyAlignment="1">
      <alignment horizontal="left" vertical="center" indent="4"/>
    </xf>
    <xf numFmtId="0" fontId="4" fillId="0" borderId="1" xfId="0" applyFont="1" applyBorder="1" applyAlignment="1">
      <alignment vertical="center"/>
    </xf>
    <xf numFmtId="0" fontId="5" fillId="0" borderId="1" xfId="0" applyFont="1" applyBorder="1" applyAlignment="1">
      <alignment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0" fillId="0" borderId="0" xfId="0" applyAlignment="1">
      <alignment vertical="center"/>
    </xf>
    <xf numFmtId="0" fontId="8" fillId="0" borderId="0" xfId="0" applyFont="1" applyAlignment="1">
      <alignment vertical="center"/>
    </xf>
    <xf numFmtId="9" fontId="0" fillId="0" borderId="1" xfId="0" applyNumberFormat="1" applyBorder="1" applyAlignment="1">
      <alignment horizontal="left" vertical="center" wrapText="1"/>
    </xf>
    <xf numFmtId="10" fontId="0" fillId="0" borderId="1" xfId="0" applyNumberFormat="1" applyBorder="1" applyAlignment="1">
      <alignment horizontal="left" vertical="center" wrapText="1"/>
    </xf>
    <xf numFmtId="0" fontId="7" fillId="3" borderId="1" xfId="0" applyFont="1" applyFill="1" applyBorder="1"/>
    <xf numFmtId="0" fontId="8" fillId="0" borderId="1" xfId="0" applyFont="1" applyBorder="1" applyAlignment="1">
      <alignment vertical="center"/>
    </xf>
    <xf numFmtId="0" fontId="9" fillId="0" borderId="1" xfId="0" applyFont="1" applyBorder="1" applyAlignment="1">
      <alignment wrapText="1"/>
    </xf>
    <xf numFmtId="0" fontId="9" fillId="0" borderId="1" xfId="0" applyFont="1" applyBorder="1" applyAlignment="1">
      <alignment horizontal="left" vertical="center" wrapText="1"/>
    </xf>
    <xf numFmtId="0" fontId="9" fillId="0" borderId="1" xfId="0" applyFont="1" applyBorder="1" applyAlignment="1">
      <alignment vertical="center" wrapText="1"/>
    </xf>
    <xf numFmtId="0" fontId="0" fillId="0" borderId="0" xfId="0" applyAlignment="1">
      <alignment wrapText="1"/>
    </xf>
    <xf numFmtId="0" fontId="0" fillId="0" borderId="0" xfId="0" applyAlignment="1">
      <alignment vertical="center" wrapText="1"/>
    </xf>
    <xf numFmtId="0" fontId="0" fillId="0" borderId="1" xfId="0" applyBorder="1" applyAlignment="1">
      <alignment horizontal="left"/>
    </xf>
    <xf numFmtId="0" fontId="0" fillId="0" borderId="1" xfId="0" applyBorder="1" applyAlignment="1">
      <alignment horizontal="left" vertical="center"/>
    </xf>
    <xf numFmtId="0" fontId="0" fillId="0" borderId="1" xfId="0" applyBorder="1" applyAlignment="1">
      <alignment vertical="center"/>
    </xf>
    <xf numFmtId="0" fontId="2" fillId="2" borderId="1" xfId="0" applyFont="1" applyFill="1" applyBorder="1" applyAlignment="1">
      <alignment horizontal="left" vertical="center" wrapText="1"/>
    </xf>
    <xf numFmtId="0" fontId="3" fillId="0" borderId="1" xfId="0" applyFont="1" applyBorder="1" applyAlignment="1">
      <alignment horizontal="left" vertical="center"/>
    </xf>
    <xf numFmtId="0" fontId="4" fillId="0" borderId="1" xfId="0" applyFont="1" applyBorder="1" applyAlignment="1">
      <alignment horizontal="left" vertical="center"/>
    </xf>
    <xf numFmtId="0" fontId="10" fillId="0" borderId="1" xfId="0" applyFont="1" applyBorder="1" applyAlignment="1">
      <alignment horizontal="left" vertical="center"/>
    </xf>
    <xf numFmtId="0" fontId="0" fillId="0" borderId="0" xfId="0" applyAlignment="1">
      <alignment horizontal="left"/>
    </xf>
    <xf numFmtId="9" fontId="0" fillId="0" borderId="1" xfId="0" applyNumberFormat="1" applyBorder="1" applyAlignment="1">
      <alignment horizontal="left" vertical="center"/>
    </xf>
    <xf numFmtId="0" fontId="0" fillId="0" borderId="1" xfId="0" applyBorder="1" applyAlignment="1">
      <alignment horizontal="center"/>
    </xf>
    <xf numFmtId="9" fontId="0" fillId="0" borderId="1" xfId="0" applyNumberFormat="1" applyBorder="1"/>
    <xf numFmtId="9" fontId="0" fillId="0" borderId="1" xfId="0" applyNumberFormat="1" applyBorder="1" applyAlignment="1">
      <alignment horizontal="center" vertical="center"/>
    </xf>
    <xf numFmtId="0" fontId="3" fillId="0" borderId="0" xfId="0" applyFont="1" applyAlignment="1">
      <alignment horizontal="left" vertical="center"/>
    </xf>
    <xf numFmtId="0" fontId="3" fillId="0" borderId="0" xfId="0" applyFont="1" applyAlignment="1">
      <alignment horizontal="left" vertical="center" indent="4"/>
    </xf>
    <xf numFmtId="0" fontId="11" fillId="0" borderId="1" xfId="0" applyFont="1" applyBorder="1" applyAlignment="1">
      <alignment horizontal="center" vertical="center" wrapText="1"/>
    </xf>
    <xf numFmtId="0" fontId="11" fillId="2" borderId="1" xfId="0" applyFont="1" applyFill="1" applyBorder="1" applyAlignment="1">
      <alignment horizontal="center" vertical="center" wrapText="1"/>
    </xf>
    <xf numFmtId="0" fontId="11" fillId="2" borderId="1" xfId="0" applyFont="1" applyFill="1" applyBorder="1" applyAlignment="1">
      <alignment horizontal="left" vertical="center" wrapText="1"/>
    </xf>
    <xf numFmtId="0" fontId="11" fillId="0" borderId="0" xfId="0" applyFont="1"/>
    <xf numFmtId="0" fontId="7" fillId="3" borderId="2" xfId="0" applyFont="1" applyFill="1" applyBorder="1" applyAlignment="1">
      <alignment horizontal="center"/>
    </xf>
    <xf numFmtId="0" fontId="7" fillId="3" borderId="3" xfId="0" applyFont="1" applyFill="1" applyBorder="1" applyAlignment="1">
      <alignment horizontal="center"/>
    </xf>
    <xf numFmtId="0" fontId="7" fillId="3" borderId="4" xfId="0" applyFont="1" applyFill="1" applyBorder="1" applyAlignment="1">
      <alignment horizontal="center"/>
    </xf>
    <xf numFmtId="0" fontId="0" fillId="0" borderId="1" xfId="0" applyBorder="1" applyAlignment="1">
      <alignment horizontal="left" vertical="center" wrapText="1"/>
    </xf>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CA22D-A4F8-40B5-AC65-7CBF96EA8F25}">
  <dimension ref="A1:U1197"/>
  <sheetViews>
    <sheetView tabSelected="1" workbookViewId="0">
      <selection activeCell="A17" sqref="A17"/>
    </sheetView>
  </sheetViews>
  <sheetFormatPr baseColWidth="10" defaultRowHeight="14.5" x14ac:dyDescent="0.35"/>
  <cols>
    <col min="1" max="1" width="10.90625" style="5"/>
    <col min="2" max="2" width="29.08984375" style="5" customWidth="1"/>
    <col min="3" max="3" width="30.81640625" style="5" customWidth="1"/>
    <col min="4" max="4" width="12.1796875" style="5" customWidth="1"/>
    <col min="5" max="5" width="26.81640625" style="5" customWidth="1"/>
    <col min="6" max="6" width="12.81640625" style="5" customWidth="1"/>
    <col min="7" max="8" width="10.90625" style="5"/>
    <col min="9" max="9" width="19" style="22" customWidth="1"/>
    <col min="10" max="10" width="13.1796875" style="5" customWidth="1"/>
    <col min="11" max="19" width="10.90625" style="5"/>
    <col min="20" max="20" width="12.08984375" style="5" customWidth="1"/>
    <col min="21" max="16384" width="10.90625" style="5"/>
  </cols>
  <sheetData>
    <row r="1" spans="1:21" x14ac:dyDescent="0.35">
      <c r="C1" s="15" t="s">
        <v>55</v>
      </c>
      <c r="D1" s="40" t="s">
        <v>50</v>
      </c>
      <c r="E1" s="41"/>
      <c r="F1" s="40" t="s">
        <v>51</v>
      </c>
      <c r="G1" s="42"/>
      <c r="H1" s="42"/>
      <c r="I1" s="41"/>
      <c r="J1" s="40" t="s">
        <v>52</v>
      </c>
      <c r="K1" s="41"/>
      <c r="L1" s="40" t="s">
        <v>54</v>
      </c>
      <c r="M1" s="42"/>
      <c r="N1" s="42"/>
      <c r="O1" s="42"/>
      <c r="P1" s="42"/>
      <c r="Q1" s="42"/>
      <c r="R1" s="42"/>
      <c r="S1" s="42"/>
      <c r="T1" s="42"/>
      <c r="U1" s="41"/>
    </row>
    <row r="2" spans="1:21" s="1" customFormat="1" ht="58" x14ac:dyDescent="0.35">
      <c r="B2" s="2" t="s">
        <v>19</v>
      </c>
      <c r="C2" s="2" t="s">
        <v>18</v>
      </c>
      <c r="D2" s="2" t="s">
        <v>21</v>
      </c>
      <c r="E2" s="2" t="s">
        <v>22</v>
      </c>
      <c r="F2" s="2" t="s">
        <v>23</v>
      </c>
      <c r="G2" s="2" t="s">
        <v>24</v>
      </c>
      <c r="H2" s="2" t="s">
        <v>25</v>
      </c>
      <c r="I2" s="25" t="s">
        <v>59</v>
      </c>
      <c r="J2" s="2" t="s">
        <v>53</v>
      </c>
      <c r="K2" s="2" t="s">
        <v>26</v>
      </c>
      <c r="L2" s="2" t="s">
        <v>27</v>
      </c>
      <c r="M2" s="2" t="s">
        <v>28</v>
      </c>
      <c r="N2" s="2" t="s">
        <v>29</v>
      </c>
      <c r="O2" s="2" t="s">
        <v>30</v>
      </c>
      <c r="P2" s="2" t="s">
        <v>31</v>
      </c>
      <c r="Q2" s="2" t="s">
        <v>32</v>
      </c>
      <c r="R2" s="2" t="s">
        <v>33</v>
      </c>
      <c r="S2" s="9" t="s">
        <v>34</v>
      </c>
      <c r="T2" s="9" t="s">
        <v>35</v>
      </c>
      <c r="U2" s="9" t="s">
        <v>36</v>
      </c>
    </row>
    <row r="3" spans="1:21" ht="130.5" x14ac:dyDescent="0.35">
      <c r="A3" s="3">
        <v>1</v>
      </c>
      <c r="B3" s="10" t="s">
        <v>20</v>
      </c>
      <c r="C3" s="43" t="s">
        <v>104</v>
      </c>
      <c r="D3" s="16" t="s">
        <v>40</v>
      </c>
      <c r="E3" s="4" t="s">
        <v>41</v>
      </c>
      <c r="F3" s="4">
        <v>14</v>
      </c>
      <c r="G3" s="14">
        <v>0.214</v>
      </c>
      <c r="H3" s="4"/>
      <c r="I3" s="14">
        <v>0.78600000000000003</v>
      </c>
      <c r="J3" s="14"/>
      <c r="K3" s="13">
        <v>0.9</v>
      </c>
      <c r="L3" s="4"/>
      <c r="M3" s="4"/>
      <c r="O3" s="5">
        <f>1283</f>
        <v>1283</v>
      </c>
      <c r="P3" s="5">
        <f>12.78</f>
        <v>12.78</v>
      </c>
      <c r="Q3" s="5">
        <f>4.02</f>
        <v>4.0199999999999996</v>
      </c>
      <c r="R3" s="5">
        <f>1266.71</f>
        <v>1266.71</v>
      </c>
    </row>
    <row r="4" spans="1:21" ht="159.5" x14ac:dyDescent="0.35">
      <c r="A4" s="3">
        <v>2</v>
      </c>
      <c r="B4" s="10" t="s">
        <v>0</v>
      </c>
      <c r="C4" s="43" t="s">
        <v>105</v>
      </c>
      <c r="D4" s="16" t="s">
        <v>40</v>
      </c>
      <c r="E4" s="4" t="s">
        <v>41</v>
      </c>
      <c r="F4" s="4">
        <v>102</v>
      </c>
      <c r="G4" s="4" t="s">
        <v>43</v>
      </c>
      <c r="H4" s="4" t="s">
        <v>43</v>
      </c>
      <c r="I4" s="4" t="s">
        <v>42</v>
      </c>
      <c r="J4" s="4"/>
      <c r="K4" s="13">
        <v>1</v>
      </c>
      <c r="L4" s="4"/>
      <c r="M4" s="4"/>
      <c r="O4" s="5">
        <f>293.89</f>
        <v>293.89</v>
      </c>
      <c r="P4" s="5">
        <f>2.27</f>
        <v>2.27</v>
      </c>
      <c r="Q4" s="31" t="s">
        <v>97</v>
      </c>
      <c r="R4" s="5">
        <f>291.62</f>
        <v>291.62</v>
      </c>
    </row>
    <row r="5" spans="1:21" ht="159.5" x14ac:dyDescent="0.35">
      <c r="A5" s="3">
        <v>3</v>
      </c>
      <c r="B5" s="10" t="s">
        <v>1</v>
      </c>
      <c r="C5" s="43" t="s">
        <v>106</v>
      </c>
      <c r="D5" s="16" t="s">
        <v>46</v>
      </c>
      <c r="E5" s="4" t="s">
        <v>45</v>
      </c>
      <c r="F5" s="4">
        <v>33</v>
      </c>
      <c r="G5" s="13">
        <v>0.51</v>
      </c>
      <c r="H5" s="4" t="s">
        <v>47</v>
      </c>
      <c r="I5" s="13">
        <v>0.49</v>
      </c>
      <c r="J5" s="13"/>
      <c r="K5" s="13">
        <v>1</v>
      </c>
      <c r="L5" s="4"/>
      <c r="M5" s="4"/>
      <c r="O5" s="5">
        <f>1280.94</f>
        <v>1280.94</v>
      </c>
      <c r="P5" s="5">
        <f>8.92</f>
        <v>8.92</v>
      </c>
      <c r="Q5" s="5">
        <f>82.75</f>
        <v>82.75</v>
      </c>
      <c r="R5" s="5">
        <f>1189.27</f>
        <v>1189.27</v>
      </c>
    </row>
    <row r="6" spans="1:21" ht="348" x14ac:dyDescent="0.35">
      <c r="A6" s="3">
        <v>4</v>
      </c>
      <c r="B6" s="10" t="s">
        <v>2</v>
      </c>
      <c r="C6" s="43" t="s">
        <v>107</v>
      </c>
      <c r="D6" s="4" t="s">
        <v>48</v>
      </c>
      <c r="E6" s="4" t="s">
        <v>45</v>
      </c>
      <c r="F6" s="4">
        <v>8</v>
      </c>
      <c r="G6" s="13">
        <v>0.5</v>
      </c>
      <c r="H6" s="13">
        <v>0.5</v>
      </c>
      <c r="I6" s="4"/>
      <c r="J6" s="4"/>
      <c r="K6" s="4" t="s">
        <v>47</v>
      </c>
      <c r="L6" s="4"/>
      <c r="M6" s="4"/>
      <c r="O6" s="5">
        <f>90.8</f>
        <v>90.8</v>
      </c>
      <c r="P6" s="5">
        <f>10.11</f>
        <v>10.11</v>
      </c>
      <c r="Q6" s="5">
        <f>2.97</f>
        <v>2.97</v>
      </c>
      <c r="R6" s="5">
        <f>77.71</f>
        <v>77.709999999999994</v>
      </c>
    </row>
    <row r="7" spans="1:21" ht="72.5" x14ac:dyDescent="0.35">
      <c r="A7" s="3">
        <v>5</v>
      </c>
      <c r="B7" s="10" t="s">
        <v>3</v>
      </c>
      <c r="C7" s="43"/>
      <c r="D7" s="4" t="s">
        <v>56</v>
      </c>
      <c r="E7" s="4" t="s">
        <v>58</v>
      </c>
      <c r="F7" s="4">
        <v>21</v>
      </c>
      <c r="G7" s="13">
        <v>0.08</v>
      </c>
      <c r="H7" s="13">
        <v>0.92</v>
      </c>
      <c r="I7" s="26" t="s">
        <v>95</v>
      </c>
      <c r="J7" s="6"/>
      <c r="K7" s="13">
        <v>1</v>
      </c>
      <c r="L7" s="4"/>
      <c r="M7" s="4"/>
      <c r="O7" s="5">
        <f>3339.44</f>
        <v>3339.44</v>
      </c>
      <c r="P7" s="5">
        <f>31.91</f>
        <v>31.91</v>
      </c>
      <c r="Q7" s="5">
        <f>21.48</f>
        <v>21.48</v>
      </c>
      <c r="R7" s="5">
        <f>3286.07</f>
        <v>3286.07</v>
      </c>
    </row>
    <row r="8" spans="1:21" ht="246.5" x14ac:dyDescent="0.35">
      <c r="A8" s="3">
        <v>6</v>
      </c>
      <c r="B8" s="10" t="s">
        <v>4</v>
      </c>
      <c r="C8" s="43" t="s">
        <v>108</v>
      </c>
      <c r="D8" s="4" t="s">
        <v>61</v>
      </c>
      <c r="E8" s="4" t="s">
        <v>45</v>
      </c>
      <c r="F8" s="4">
        <v>20</v>
      </c>
      <c r="G8" s="13">
        <v>0.35</v>
      </c>
      <c r="H8" s="13">
        <v>0.65</v>
      </c>
      <c r="I8" s="27"/>
      <c r="J8" s="7"/>
      <c r="K8" s="13">
        <v>1</v>
      </c>
      <c r="L8" s="4"/>
      <c r="M8" s="4"/>
      <c r="O8" s="5">
        <f>1830</f>
        <v>1830</v>
      </c>
      <c r="P8" s="5">
        <f>8.21</f>
        <v>8.2100000000000009</v>
      </c>
      <c r="Q8" s="5">
        <f>1.23</f>
        <v>1.23</v>
      </c>
      <c r="R8" s="5">
        <f>1825.09</f>
        <v>1825.09</v>
      </c>
    </row>
    <row r="9" spans="1:21" ht="409.5" x14ac:dyDescent="0.35">
      <c r="A9" s="3">
        <v>7</v>
      </c>
      <c r="B9" s="10" t="s">
        <v>5</v>
      </c>
      <c r="C9" s="43" t="s">
        <v>109</v>
      </c>
      <c r="D9" s="11" t="s">
        <v>63</v>
      </c>
      <c r="E9" s="4" t="s">
        <v>64</v>
      </c>
      <c r="F9" s="4">
        <v>21</v>
      </c>
      <c r="H9" s="13">
        <v>1</v>
      </c>
      <c r="I9" s="4" t="s">
        <v>96</v>
      </c>
      <c r="J9" s="6"/>
      <c r="K9" s="13">
        <v>1</v>
      </c>
      <c r="L9" s="4"/>
      <c r="M9" s="4"/>
      <c r="O9" s="5">
        <f>275.81</f>
        <v>275.81</v>
      </c>
      <c r="P9" s="5">
        <f>190.52</f>
        <v>190.52</v>
      </c>
      <c r="Q9" s="5">
        <v>9.26</v>
      </c>
      <c r="R9" s="5">
        <f>76.02</f>
        <v>76.02</v>
      </c>
    </row>
    <row r="10" spans="1:21" ht="406" x14ac:dyDescent="0.35">
      <c r="A10" s="3">
        <v>8</v>
      </c>
      <c r="B10" s="10" t="s">
        <v>6</v>
      </c>
      <c r="C10" s="43" t="s">
        <v>110</v>
      </c>
      <c r="D10" s="4" t="s">
        <v>48</v>
      </c>
      <c r="E10" s="4" t="s">
        <v>66</v>
      </c>
      <c r="F10" s="4">
        <v>30</v>
      </c>
      <c r="G10" s="14">
        <v>0.76700000000000002</v>
      </c>
      <c r="H10" s="14">
        <v>0.16700000000000001</v>
      </c>
      <c r="I10" s="26"/>
      <c r="J10" s="6"/>
      <c r="K10" s="4" t="s">
        <v>47</v>
      </c>
      <c r="L10" s="4"/>
      <c r="M10" s="4"/>
      <c r="N10" s="33" t="s">
        <v>98</v>
      </c>
      <c r="O10" s="5">
        <f>124.64</f>
        <v>124.64</v>
      </c>
      <c r="P10" s="5">
        <f>2.14</f>
        <v>2.14</v>
      </c>
      <c r="Q10" s="5">
        <f>2.97</f>
        <v>2.97</v>
      </c>
      <c r="R10" s="5">
        <f>119.52</f>
        <v>119.52</v>
      </c>
    </row>
    <row r="11" spans="1:21" ht="87" x14ac:dyDescent="0.35">
      <c r="A11" s="3">
        <v>9</v>
      </c>
      <c r="B11" s="10" t="s">
        <v>7</v>
      </c>
      <c r="C11" s="43" t="s">
        <v>111</v>
      </c>
      <c r="D11" s="12" t="s">
        <v>67</v>
      </c>
      <c r="E11" s="4" t="s">
        <v>69</v>
      </c>
      <c r="F11" s="4">
        <v>200</v>
      </c>
      <c r="G11" s="4"/>
      <c r="H11" s="4"/>
      <c r="I11" s="26"/>
      <c r="J11" s="6"/>
      <c r="K11" s="4"/>
      <c r="L11" s="4"/>
      <c r="M11" s="4"/>
      <c r="O11" s="5">
        <f t="shared" ref="O11:O17" si="0">SUM(P11:R11)</f>
        <v>112763.28</v>
      </c>
      <c r="P11" s="5">
        <f>24333.86</f>
        <v>24333.86</v>
      </c>
      <c r="Q11" s="5">
        <f>67.91</f>
        <v>67.91</v>
      </c>
      <c r="R11" s="5">
        <f>88361.51</f>
        <v>88361.51</v>
      </c>
    </row>
    <row r="12" spans="1:21" ht="246.5" x14ac:dyDescent="0.35">
      <c r="A12" s="3">
        <v>10</v>
      </c>
      <c r="B12" s="10" t="s">
        <v>8</v>
      </c>
      <c r="C12" s="43" t="s">
        <v>112</v>
      </c>
      <c r="D12" s="3" t="s">
        <v>71</v>
      </c>
      <c r="E12" s="4" t="s">
        <v>72</v>
      </c>
      <c r="F12" s="4">
        <v>22</v>
      </c>
      <c r="G12" s="4"/>
      <c r="H12" s="4"/>
      <c r="I12" s="27"/>
      <c r="J12" s="7"/>
      <c r="K12" s="13">
        <v>1</v>
      </c>
      <c r="L12" s="4"/>
      <c r="M12" s="4"/>
      <c r="O12" s="5">
        <f t="shared" si="0"/>
        <v>369.01</v>
      </c>
      <c r="P12" s="5">
        <f>220.77</f>
        <v>220.77</v>
      </c>
      <c r="Q12" s="5">
        <f>37.09</f>
        <v>37.090000000000003</v>
      </c>
      <c r="R12" s="5">
        <f>111.15</f>
        <v>111.15</v>
      </c>
    </row>
    <row r="13" spans="1:21" ht="246.5" x14ac:dyDescent="0.35">
      <c r="A13" s="3">
        <v>11</v>
      </c>
      <c r="B13" s="10" t="s">
        <v>9</v>
      </c>
      <c r="C13" s="43" t="s">
        <v>113</v>
      </c>
      <c r="D13" s="4" t="s">
        <v>74</v>
      </c>
      <c r="E13" s="4" t="s">
        <v>45</v>
      </c>
      <c r="F13" s="4">
        <v>7</v>
      </c>
      <c r="G13" s="14">
        <v>0.28599999999999998</v>
      </c>
      <c r="H13" s="14">
        <v>0.71399999999999997</v>
      </c>
      <c r="I13" s="26"/>
      <c r="J13" s="6"/>
      <c r="K13" s="13">
        <v>1</v>
      </c>
      <c r="L13" s="4"/>
      <c r="M13" s="4"/>
      <c r="O13" s="5">
        <f t="shared" si="0"/>
        <v>97.34</v>
      </c>
      <c r="P13" s="5">
        <f>5.26</f>
        <v>5.26</v>
      </c>
      <c r="Q13" s="5">
        <f>7.41</f>
        <v>7.41</v>
      </c>
      <c r="R13" s="5">
        <f>84.67</f>
        <v>84.67</v>
      </c>
    </row>
    <row r="14" spans="1:21" ht="232" x14ac:dyDescent="0.35">
      <c r="A14" s="3">
        <v>12</v>
      </c>
      <c r="B14" s="10" t="s">
        <v>10</v>
      </c>
      <c r="C14" s="43" t="s">
        <v>114</v>
      </c>
      <c r="D14" s="4" t="s">
        <v>56</v>
      </c>
      <c r="E14" s="4" t="s">
        <v>76</v>
      </c>
      <c r="F14" s="4">
        <v>25</v>
      </c>
      <c r="G14" s="4"/>
      <c r="H14" s="4"/>
      <c r="I14" s="26"/>
      <c r="J14" s="6"/>
      <c r="K14" s="13">
        <v>1</v>
      </c>
      <c r="L14" s="4"/>
      <c r="M14" s="4"/>
      <c r="O14" s="5">
        <f t="shared" si="0"/>
        <v>2519.9399999999996</v>
      </c>
      <c r="P14" s="5">
        <f>2171.24</f>
        <v>2171.2399999999998</v>
      </c>
      <c r="Q14" s="5">
        <f>1.1</f>
        <v>1.1000000000000001</v>
      </c>
      <c r="R14" s="5">
        <f>347.6</f>
        <v>347.6</v>
      </c>
    </row>
    <row r="15" spans="1:21" ht="275.5" x14ac:dyDescent="0.35">
      <c r="A15" s="3">
        <v>13</v>
      </c>
      <c r="B15" s="10" t="s">
        <v>11</v>
      </c>
      <c r="C15" s="43" t="s">
        <v>115</v>
      </c>
      <c r="D15" s="4" t="s">
        <v>48</v>
      </c>
      <c r="E15" s="4" t="s">
        <v>41</v>
      </c>
      <c r="F15" s="4"/>
      <c r="G15" s="4"/>
      <c r="H15" s="4"/>
      <c r="I15" s="27"/>
      <c r="J15" s="7"/>
      <c r="K15" s="4"/>
      <c r="L15" s="4"/>
      <c r="M15" s="4"/>
      <c r="N15" s="32">
        <v>0.1</v>
      </c>
      <c r="O15" s="5">
        <f t="shared" si="0"/>
        <v>63.776000000000003</v>
      </c>
      <c r="P15" s="5">
        <f>2.656</f>
        <v>2.6560000000000001</v>
      </c>
      <c r="Q15" s="5">
        <f>3.2</f>
        <v>3.2</v>
      </c>
      <c r="R15" s="5">
        <f>57.92</f>
        <v>57.92</v>
      </c>
    </row>
    <row r="16" spans="1:21" ht="116" x14ac:dyDescent="0.35">
      <c r="A16" s="3">
        <v>14</v>
      </c>
      <c r="B16" s="10" t="s">
        <v>12</v>
      </c>
      <c r="C16" s="43" t="s">
        <v>116</v>
      </c>
      <c r="D16" s="4" t="s">
        <v>101</v>
      </c>
      <c r="E16" s="4" t="s">
        <v>102</v>
      </c>
      <c r="F16" s="4">
        <v>73</v>
      </c>
      <c r="G16" s="14">
        <v>1.4E-2</v>
      </c>
      <c r="H16" s="14">
        <v>0.98399999999999999</v>
      </c>
      <c r="I16" s="26"/>
      <c r="J16" s="6"/>
      <c r="K16" s="4"/>
      <c r="L16" s="4"/>
      <c r="M16" s="4"/>
      <c r="O16" s="5">
        <f t="shared" si="0"/>
        <v>11621.820000000002</v>
      </c>
      <c r="P16" s="5">
        <f>15.82</f>
        <v>15.82</v>
      </c>
      <c r="Q16" s="5">
        <f>38.13</f>
        <v>38.130000000000003</v>
      </c>
      <c r="R16" s="5">
        <f>11567.87</f>
        <v>11567.87</v>
      </c>
    </row>
    <row r="17" spans="1:18" ht="159.5" x14ac:dyDescent="0.35">
      <c r="A17" s="3">
        <v>15</v>
      </c>
      <c r="B17" s="10" t="s">
        <v>13</v>
      </c>
      <c r="C17" s="43" t="s">
        <v>117</v>
      </c>
      <c r="D17" s="4" t="s">
        <v>100</v>
      </c>
      <c r="E17" s="4" t="s">
        <v>103</v>
      </c>
      <c r="F17" s="4">
        <v>112</v>
      </c>
      <c r="G17" s="4"/>
      <c r="H17" s="4"/>
      <c r="I17" s="26"/>
      <c r="J17" s="6"/>
      <c r="K17" s="4"/>
      <c r="L17" s="4"/>
      <c r="M17" s="4"/>
      <c r="O17" s="5">
        <f t="shared" si="0"/>
        <v>2866.65</v>
      </c>
      <c r="P17" s="5">
        <f>44</f>
        <v>44</v>
      </c>
      <c r="Q17" s="5">
        <f>467.92</f>
        <v>467.92</v>
      </c>
      <c r="R17" s="5">
        <f>2354.73</f>
        <v>2354.73</v>
      </c>
    </row>
    <row r="18" spans="1:18" ht="203" x14ac:dyDescent="0.35">
      <c r="A18" s="3">
        <v>16</v>
      </c>
      <c r="B18" s="10" t="s">
        <v>14</v>
      </c>
      <c r="C18" s="43" t="s">
        <v>118</v>
      </c>
      <c r="D18" s="4" t="s">
        <v>81</v>
      </c>
      <c r="E18" s="4" t="s">
        <v>41</v>
      </c>
      <c r="F18" s="23">
        <v>8</v>
      </c>
      <c r="G18" s="14">
        <v>0.375</v>
      </c>
      <c r="H18" s="14">
        <v>0.625</v>
      </c>
      <c r="I18" s="26"/>
      <c r="J18" s="6"/>
      <c r="K18" s="13">
        <v>1</v>
      </c>
      <c r="L18" s="4"/>
      <c r="M18" s="4"/>
      <c r="O18" s="5">
        <f>996.24</f>
        <v>996.24</v>
      </c>
      <c r="P18" s="5">
        <f>334.09</f>
        <v>334.09</v>
      </c>
      <c r="Q18" s="5">
        <f>1.17</f>
        <v>1.17</v>
      </c>
      <c r="R18" s="5">
        <f>660.98</f>
        <v>660.98</v>
      </c>
    </row>
    <row r="19" spans="1:18" ht="116" x14ac:dyDescent="0.35">
      <c r="A19" s="3">
        <v>17</v>
      </c>
      <c r="B19" s="10" t="s">
        <v>15</v>
      </c>
      <c r="C19" s="43" t="s">
        <v>119</v>
      </c>
      <c r="D19" s="4" t="s">
        <v>83</v>
      </c>
      <c r="E19" s="4" t="s">
        <v>84</v>
      </c>
      <c r="F19" s="4">
        <v>60</v>
      </c>
      <c r="G19" s="13">
        <v>0.98</v>
      </c>
      <c r="H19" s="13">
        <v>0.02</v>
      </c>
      <c r="I19" s="26"/>
      <c r="J19" s="6"/>
      <c r="K19" s="4" t="s">
        <v>47</v>
      </c>
      <c r="L19" s="4"/>
      <c r="M19" s="4"/>
      <c r="N19" s="5" t="s">
        <v>99</v>
      </c>
      <c r="O19" s="5">
        <f>778.07</f>
        <v>778.07</v>
      </c>
      <c r="P19" s="5">
        <f>121.072</f>
        <v>121.072</v>
      </c>
      <c r="Q19" s="5">
        <f>388.46</f>
        <v>388.46</v>
      </c>
      <c r="R19" s="5">
        <f>268.53</f>
        <v>268.52999999999997</v>
      </c>
    </row>
    <row r="20" spans="1:18" ht="275.5" x14ac:dyDescent="0.35">
      <c r="A20" s="3">
        <v>18</v>
      </c>
      <c r="B20" s="10" t="s">
        <v>16</v>
      </c>
      <c r="C20" s="43" t="s">
        <v>120</v>
      </c>
      <c r="D20" s="4" t="s">
        <v>61</v>
      </c>
      <c r="E20" s="4" t="s">
        <v>85</v>
      </c>
      <c r="F20" s="4">
        <v>19</v>
      </c>
      <c r="G20" s="14">
        <v>0.26300000000000001</v>
      </c>
      <c r="H20" s="4"/>
      <c r="I20" s="28" t="s">
        <v>87</v>
      </c>
      <c r="J20" s="8"/>
      <c r="K20" s="13">
        <v>1</v>
      </c>
      <c r="L20" s="4"/>
      <c r="M20" s="4"/>
      <c r="O20" s="5">
        <f>2982.76</f>
        <v>2982.76</v>
      </c>
      <c r="P20" s="5">
        <f>313.42</f>
        <v>313.42</v>
      </c>
      <c r="Q20" s="5">
        <f>2.9</f>
        <v>2.9</v>
      </c>
      <c r="R20" s="5">
        <f>2666.44</f>
        <v>2666.44</v>
      </c>
    </row>
    <row r="21" spans="1:18" ht="145" x14ac:dyDescent="0.35">
      <c r="A21" s="3">
        <v>19</v>
      </c>
      <c r="B21" s="10" t="s">
        <v>17</v>
      </c>
      <c r="C21" s="43" t="s">
        <v>121</v>
      </c>
      <c r="D21" s="4" t="s">
        <v>90</v>
      </c>
      <c r="E21" s="4" t="s">
        <v>89</v>
      </c>
      <c r="F21" s="4">
        <v>84</v>
      </c>
      <c r="G21" s="14">
        <v>0.16700000000000001</v>
      </c>
      <c r="H21" s="14">
        <v>0.23799999999999999</v>
      </c>
      <c r="I21" s="26" t="s">
        <v>94</v>
      </c>
      <c r="J21" s="6"/>
      <c r="K21" s="13">
        <v>1</v>
      </c>
      <c r="L21" s="4"/>
      <c r="M21" s="4"/>
      <c r="O21" s="5">
        <f>80.83</f>
        <v>80.83</v>
      </c>
      <c r="P21" s="5">
        <f>30.068</f>
        <v>30.068000000000001</v>
      </c>
      <c r="Q21" s="5">
        <f>12.74</f>
        <v>12.74</v>
      </c>
      <c r="R21" s="5">
        <f>38.03</f>
        <v>38.03</v>
      </c>
    </row>
    <row r="22" spans="1:18" ht="319" x14ac:dyDescent="0.35">
      <c r="A22" s="3">
        <v>20</v>
      </c>
      <c r="B22" s="10" t="s">
        <v>37</v>
      </c>
      <c r="C22" s="44" t="s">
        <v>122</v>
      </c>
      <c r="D22" s="24" t="s">
        <v>92</v>
      </c>
      <c r="E22" s="23" t="s">
        <v>41</v>
      </c>
      <c r="F22" s="23">
        <v>3</v>
      </c>
      <c r="G22" s="30">
        <v>1</v>
      </c>
      <c r="H22" s="23"/>
      <c r="I22" s="26" t="s">
        <v>93</v>
      </c>
      <c r="J22" s="6"/>
      <c r="K22" s="13">
        <v>1</v>
      </c>
      <c r="O22" s="5">
        <f>49.68</f>
        <v>49.68</v>
      </c>
      <c r="P22" s="5" t="s">
        <v>43</v>
      </c>
      <c r="Q22" s="5">
        <f>3</f>
        <v>3</v>
      </c>
      <c r="R22" s="5">
        <f>46.68</f>
        <v>46.68</v>
      </c>
    </row>
    <row r="23" spans="1:18" customFormat="1" x14ac:dyDescent="0.35">
      <c r="I23" s="34"/>
      <c r="J23" s="35"/>
    </row>
    <row r="24" spans="1:18" customFormat="1" x14ac:dyDescent="0.35">
      <c r="I24" s="29"/>
    </row>
    <row r="25" spans="1:18" customFormat="1" x14ac:dyDescent="0.35">
      <c r="I25" s="29"/>
    </row>
    <row r="26" spans="1:18" customFormat="1" x14ac:dyDescent="0.35">
      <c r="I26" s="29"/>
    </row>
    <row r="27" spans="1:18" customFormat="1" x14ac:dyDescent="0.35">
      <c r="I27" s="29"/>
    </row>
    <row r="28" spans="1:18" customFormat="1" x14ac:dyDescent="0.35">
      <c r="I28" s="29"/>
    </row>
    <row r="29" spans="1:18" customFormat="1" x14ac:dyDescent="0.35">
      <c r="I29" s="29"/>
    </row>
    <row r="30" spans="1:18" customFormat="1" x14ac:dyDescent="0.35">
      <c r="I30" s="29"/>
    </row>
    <row r="31" spans="1:18" customFormat="1" x14ac:dyDescent="0.35">
      <c r="I31" s="29"/>
    </row>
    <row r="32" spans="1:18" customFormat="1" x14ac:dyDescent="0.35">
      <c r="I32" s="29"/>
    </row>
    <row r="33" spans="9:9" customFormat="1" x14ac:dyDescent="0.35">
      <c r="I33" s="29"/>
    </row>
    <row r="34" spans="9:9" customFormat="1" x14ac:dyDescent="0.35">
      <c r="I34" s="29"/>
    </row>
    <row r="35" spans="9:9" customFormat="1" x14ac:dyDescent="0.35">
      <c r="I35" s="29"/>
    </row>
    <row r="36" spans="9:9" customFormat="1" x14ac:dyDescent="0.35">
      <c r="I36" s="29"/>
    </row>
    <row r="37" spans="9:9" customFormat="1" x14ac:dyDescent="0.35">
      <c r="I37" s="29"/>
    </row>
    <row r="38" spans="9:9" customFormat="1" x14ac:dyDescent="0.35">
      <c r="I38" s="29"/>
    </row>
    <row r="39" spans="9:9" customFormat="1" x14ac:dyDescent="0.35">
      <c r="I39" s="29"/>
    </row>
    <row r="40" spans="9:9" customFormat="1" x14ac:dyDescent="0.35">
      <c r="I40" s="29"/>
    </row>
    <row r="41" spans="9:9" customFormat="1" x14ac:dyDescent="0.35">
      <c r="I41" s="29"/>
    </row>
    <row r="42" spans="9:9" customFormat="1" x14ac:dyDescent="0.35">
      <c r="I42" s="29"/>
    </row>
    <row r="43" spans="9:9" customFormat="1" x14ac:dyDescent="0.35">
      <c r="I43" s="29"/>
    </row>
    <row r="44" spans="9:9" customFormat="1" x14ac:dyDescent="0.35">
      <c r="I44" s="29"/>
    </row>
    <row r="45" spans="9:9" customFormat="1" x14ac:dyDescent="0.35">
      <c r="I45" s="29"/>
    </row>
    <row r="46" spans="9:9" customFormat="1" x14ac:dyDescent="0.35">
      <c r="I46" s="29"/>
    </row>
    <row r="47" spans="9:9" customFormat="1" x14ac:dyDescent="0.35">
      <c r="I47" s="29"/>
    </row>
    <row r="48" spans="9:9" customFormat="1" x14ac:dyDescent="0.35">
      <c r="I48" s="29"/>
    </row>
    <row r="49" spans="9:9" customFormat="1" x14ac:dyDescent="0.35">
      <c r="I49" s="29"/>
    </row>
    <row r="50" spans="9:9" customFormat="1" x14ac:dyDescent="0.35">
      <c r="I50" s="29"/>
    </row>
    <row r="51" spans="9:9" customFormat="1" x14ac:dyDescent="0.35">
      <c r="I51" s="29"/>
    </row>
    <row r="52" spans="9:9" customFormat="1" x14ac:dyDescent="0.35">
      <c r="I52" s="29"/>
    </row>
    <row r="53" spans="9:9" customFormat="1" x14ac:dyDescent="0.35">
      <c r="I53" s="29"/>
    </row>
    <row r="54" spans="9:9" customFormat="1" x14ac:dyDescent="0.35">
      <c r="I54" s="29"/>
    </row>
    <row r="55" spans="9:9" customFormat="1" x14ac:dyDescent="0.35">
      <c r="I55" s="29"/>
    </row>
    <row r="56" spans="9:9" customFormat="1" x14ac:dyDescent="0.35">
      <c r="I56" s="29"/>
    </row>
    <row r="57" spans="9:9" customFormat="1" x14ac:dyDescent="0.35">
      <c r="I57" s="29"/>
    </row>
    <row r="58" spans="9:9" customFormat="1" x14ac:dyDescent="0.35">
      <c r="I58" s="29"/>
    </row>
    <row r="59" spans="9:9" customFormat="1" x14ac:dyDescent="0.35">
      <c r="I59" s="29"/>
    </row>
    <row r="60" spans="9:9" customFormat="1" x14ac:dyDescent="0.35">
      <c r="I60" s="29"/>
    </row>
    <row r="61" spans="9:9" customFormat="1" x14ac:dyDescent="0.35">
      <c r="I61" s="29"/>
    </row>
    <row r="62" spans="9:9" customFormat="1" x14ac:dyDescent="0.35">
      <c r="I62" s="29"/>
    </row>
    <row r="63" spans="9:9" customFormat="1" x14ac:dyDescent="0.35">
      <c r="I63" s="29"/>
    </row>
    <row r="64" spans="9:9" customFormat="1" x14ac:dyDescent="0.35">
      <c r="I64" s="29"/>
    </row>
    <row r="65" spans="9:9" customFormat="1" x14ac:dyDescent="0.35">
      <c r="I65" s="29"/>
    </row>
    <row r="66" spans="9:9" customFormat="1" x14ac:dyDescent="0.35">
      <c r="I66" s="29"/>
    </row>
    <row r="67" spans="9:9" customFormat="1" x14ac:dyDescent="0.35">
      <c r="I67" s="29"/>
    </row>
    <row r="68" spans="9:9" customFormat="1" x14ac:dyDescent="0.35">
      <c r="I68" s="29"/>
    </row>
    <row r="69" spans="9:9" customFormat="1" x14ac:dyDescent="0.35">
      <c r="I69" s="29"/>
    </row>
    <row r="70" spans="9:9" customFormat="1" x14ac:dyDescent="0.35">
      <c r="I70" s="29"/>
    </row>
    <row r="71" spans="9:9" customFormat="1" x14ac:dyDescent="0.35">
      <c r="I71" s="29"/>
    </row>
    <row r="72" spans="9:9" customFormat="1" x14ac:dyDescent="0.35">
      <c r="I72" s="29"/>
    </row>
    <row r="73" spans="9:9" customFormat="1" x14ac:dyDescent="0.35">
      <c r="I73" s="29"/>
    </row>
    <row r="74" spans="9:9" customFormat="1" x14ac:dyDescent="0.35">
      <c r="I74" s="29"/>
    </row>
    <row r="75" spans="9:9" customFormat="1" x14ac:dyDescent="0.35">
      <c r="I75" s="29"/>
    </row>
    <row r="76" spans="9:9" customFormat="1" x14ac:dyDescent="0.35">
      <c r="I76" s="29"/>
    </row>
    <row r="77" spans="9:9" customFormat="1" x14ac:dyDescent="0.35">
      <c r="I77" s="29"/>
    </row>
    <row r="78" spans="9:9" customFormat="1" x14ac:dyDescent="0.35">
      <c r="I78" s="29"/>
    </row>
    <row r="79" spans="9:9" customFormat="1" x14ac:dyDescent="0.35">
      <c r="I79" s="29"/>
    </row>
    <row r="80" spans="9:9" customFormat="1" x14ac:dyDescent="0.35">
      <c r="I80" s="29"/>
    </row>
    <row r="81" spans="9:9" customFormat="1" x14ac:dyDescent="0.35">
      <c r="I81" s="29"/>
    </row>
    <row r="82" spans="9:9" customFormat="1" x14ac:dyDescent="0.35">
      <c r="I82" s="29"/>
    </row>
    <row r="83" spans="9:9" customFormat="1" x14ac:dyDescent="0.35">
      <c r="I83" s="29"/>
    </row>
    <row r="84" spans="9:9" customFormat="1" x14ac:dyDescent="0.35">
      <c r="I84" s="29"/>
    </row>
    <row r="85" spans="9:9" customFormat="1" x14ac:dyDescent="0.35">
      <c r="I85" s="29"/>
    </row>
    <row r="86" spans="9:9" customFormat="1" x14ac:dyDescent="0.35">
      <c r="I86" s="29"/>
    </row>
    <row r="87" spans="9:9" customFormat="1" x14ac:dyDescent="0.35">
      <c r="I87" s="29"/>
    </row>
    <row r="88" spans="9:9" customFormat="1" x14ac:dyDescent="0.35">
      <c r="I88" s="29"/>
    </row>
    <row r="89" spans="9:9" customFormat="1" x14ac:dyDescent="0.35">
      <c r="I89" s="29"/>
    </row>
    <row r="90" spans="9:9" customFormat="1" x14ac:dyDescent="0.35">
      <c r="I90" s="29"/>
    </row>
    <row r="91" spans="9:9" customFormat="1" x14ac:dyDescent="0.35">
      <c r="I91" s="29"/>
    </row>
    <row r="92" spans="9:9" customFormat="1" x14ac:dyDescent="0.35">
      <c r="I92" s="29"/>
    </row>
    <row r="93" spans="9:9" customFormat="1" x14ac:dyDescent="0.35">
      <c r="I93" s="29"/>
    </row>
    <row r="94" spans="9:9" customFormat="1" x14ac:dyDescent="0.35">
      <c r="I94" s="29"/>
    </row>
    <row r="95" spans="9:9" customFormat="1" x14ac:dyDescent="0.35">
      <c r="I95" s="29"/>
    </row>
    <row r="96" spans="9:9" customFormat="1" x14ac:dyDescent="0.35">
      <c r="I96" s="29"/>
    </row>
    <row r="97" spans="9:9" customFormat="1" x14ac:dyDescent="0.35">
      <c r="I97" s="29"/>
    </row>
    <row r="98" spans="9:9" customFormat="1" x14ac:dyDescent="0.35">
      <c r="I98" s="29"/>
    </row>
    <row r="99" spans="9:9" customFormat="1" x14ac:dyDescent="0.35">
      <c r="I99" s="29"/>
    </row>
    <row r="100" spans="9:9" customFormat="1" x14ac:dyDescent="0.35">
      <c r="I100" s="29"/>
    </row>
    <row r="101" spans="9:9" customFormat="1" x14ac:dyDescent="0.35">
      <c r="I101" s="29"/>
    </row>
    <row r="102" spans="9:9" customFormat="1" x14ac:dyDescent="0.35">
      <c r="I102" s="29"/>
    </row>
    <row r="103" spans="9:9" customFormat="1" x14ac:dyDescent="0.35">
      <c r="I103" s="29"/>
    </row>
    <row r="104" spans="9:9" customFormat="1" x14ac:dyDescent="0.35">
      <c r="I104" s="29"/>
    </row>
    <row r="105" spans="9:9" customFormat="1" x14ac:dyDescent="0.35">
      <c r="I105" s="29"/>
    </row>
    <row r="106" spans="9:9" customFormat="1" x14ac:dyDescent="0.35">
      <c r="I106" s="29"/>
    </row>
    <row r="107" spans="9:9" customFormat="1" x14ac:dyDescent="0.35">
      <c r="I107" s="29"/>
    </row>
    <row r="108" spans="9:9" customFormat="1" x14ac:dyDescent="0.35">
      <c r="I108" s="29"/>
    </row>
    <row r="109" spans="9:9" customFormat="1" x14ac:dyDescent="0.35">
      <c r="I109" s="29"/>
    </row>
    <row r="110" spans="9:9" customFormat="1" x14ac:dyDescent="0.35">
      <c r="I110" s="29"/>
    </row>
    <row r="111" spans="9:9" customFormat="1" x14ac:dyDescent="0.35">
      <c r="I111" s="29"/>
    </row>
    <row r="112" spans="9:9" customFormat="1" x14ac:dyDescent="0.35">
      <c r="I112" s="29"/>
    </row>
    <row r="113" spans="9:9" customFormat="1" x14ac:dyDescent="0.35">
      <c r="I113" s="29"/>
    </row>
    <row r="114" spans="9:9" customFormat="1" x14ac:dyDescent="0.35">
      <c r="I114" s="29"/>
    </row>
    <row r="115" spans="9:9" customFormat="1" x14ac:dyDescent="0.35">
      <c r="I115" s="29"/>
    </row>
    <row r="116" spans="9:9" customFormat="1" x14ac:dyDescent="0.35">
      <c r="I116" s="29"/>
    </row>
    <row r="117" spans="9:9" customFormat="1" x14ac:dyDescent="0.35">
      <c r="I117" s="29"/>
    </row>
    <row r="118" spans="9:9" customFormat="1" x14ac:dyDescent="0.35">
      <c r="I118" s="29"/>
    </row>
    <row r="119" spans="9:9" customFormat="1" x14ac:dyDescent="0.35">
      <c r="I119" s="29"/>
    </row>
    <row r="120" spans="9:9" customFormat="1" x14ac:dyDescent="0.35">
      <c r="I120" s="29"/>
    </row>
    <row r="121" spans="9:9" customFormat="1" x14ac:dyDescent="0.35">
      <c r="I121" s="29"/>
    </row>
    <row r="122" spans="9:9" customFormat="1" x14ac:dyDescent="0.35">
      <c r="I122" s="29"/>
    </row>
    <row r="123" spans="9:9" customFormat="1" x14ac:dyDescent="0.35">
      <c r="I123" s="29"/>
    </row>
    <row r="124" spans="9:9" customFormat="1" x14ac:dyDescent="0.35">
      <c r="I124" s="29"/>
    </row>
    <row r="125" spans="9:9" customFormat="1" x14ac:dyDescent="0.35">
      <c r="I125" s="29"/>
    </row>
    <row r="126" spans="9:9" customFormat="1" x14ac:dyDescent="0.35">
      <c r="I126" s="29"/>
    </row>
    <row r="127" spans="9:9" customFormat="1" x14ac:dyDescent="0.35">
      <c r="I127" s="29"/>
    </row>
    <row r="128" spans="9:9" customFormat="1" x14ac:dyDescent="0.35">
      <c r="I128" s="29"/>
    </row>
    <row r="129" spans="9:9" customFormat="1" x14ac:dyDescent="0.35">
      <c r="I129" s="29"/>
    </row>
    <row r="130" spans="9:9" customFormat="1" x14ac:dyDescent="0.35">
      <c r="I130" s="29"/>
    </row>
    <row r="131" spans="9:9" customFormat="1" x14ac:dyDescent="0.35">
      <c r="I131" s="29"/>
    </row>
    <row r="132" spans="9:9" customFormat="1" x14ac:dyDescent="0.35">
      <c r="I132" s="29"/>
    </row>
    <row r="133" spans="9:9" customFormat="1" x14ac:dyDescent="0.35">
      <c r="I133" s="29"/>
    </row>
    <row r="134" spans="9:9" customFormat="1" x14ac:dyDescent="0.35">
      <c r="I134" s="29"/>
    </row>
    <row r="135" spans="9:9" customFormat="1" x14ac:dyDescent="0.35">
      <c r="I135" s="29"/>
    </row>
    <row r="136" spans="9:9" customFormat="1" x14ac:dyDescent="0.35">
      <c r="I136" s="29"/>
    </row>
    <row r="137" spans="9:9" customFormat="1" x14ac:dyDescent="0.35">
      <c r="I137" s="29"/>
    </row>
    <row r="138" spans="9:9" customFormat="1" x14ac:dyDescent="0.35">
      <c r="I138" s="29"/>
    </row>
    <row r="139" spans="9:9" customFormat="1" x14ac:dyDescent="0.35">
      <c r="I139" s="29"/>
    </row>
    <row r="140" spans="9:9" customFormat="1" x14ac:dyDescent="0.35">
      <c r="I140" s="29"/>
    </row>
    <row r="141" spans="9:9" customFormat="1" x14ac:dyDescent="0.35">
      <c r="I141" s="29"/>
    </row>
    <row r="142" spans="9:9" customFormat="1" x14ac:dyDescent="0.35">
      <c r="I142" s="29"/>
    </row>
    <row r="143" spans="9:9" customFormat="1" x14ac:dyDescent="0.35">
      <c r="I143" s="29"/>
    </row>
    <row r="144" spans="9:9" customFormat="1" x14ac:dyDescent="0.35">
      <c r="I144" s="29"/>
    </row>
    <row r="145" spans="9:9" customFormat="1" x14ac:dyDescent="0.35">
      <c r="I145" s="29"/>
    </row>
    <row r="146" spans="9:9" customFormat="1" x14ac:dyDescent="0.35">
      <c r="I146" s="29"/>
    </row>
    <row r="147" spans="9:9" customFormat="1" x14ac:dyDescent="0.35">
      <c r="I147" s="29"/>
    </row>
    <row r="148" spans="9:9" customFormat="1" x14ac:dyDescent="0.35">
      <c r="I148" s="29"/>
    </row>
    <row r="149" spans="9:9" customFormat="1" x14ac:dyDescent="0.35">
      <c r="I149" s="29"/>
    </row>
    <row r="150" spans="9:9" customFormat="1" x14ac:dyDescent="0.35">
      <c r="I150" s="29"/>
    </row>
    <row r="151" spans="9:9" customFormat="1" x14ac:dyDescent="0.35">
      <c r="I151" s="29"/>
    </row>
    <row r="152" spans="9:9" customFormat="1" x14ac:dyDescent="0.35">
      <c r="I152" s="29"/>
    </row>
    <row r="153" spans="9:9" customFormat="1" x14ac:dyDescent="0.35">
      <c r="I153" s="29"/>
    </row>
    <row r="154" spans="9:9" customFormat="1" x14ac:dyDescent="0.35">
      <c r="I154" s="29"/>
    </row>
    <row r="155" spans="9:9" customFormat="1" x14ac:dyDescent="0.35">
      <c r="I155" s="29"/>
    </row>
    <row r="156" spans="9:9" customFormat="1" x14ac:dyDescent="0.35">
      <c r="I156" s="29"/>
    </row>
    <row r="157" spans="9:9" customFormat="1" x14ac:dyDescent="0.35">
      <c r="I157" s="29"/>
    </row>
    <row r="158" spans="9:9" customFormat="1" x14ac:dyDescent="0.35">
      <c r="I158" s="29"/>
    </row>
    <row r="159" spans="9:9" customFormat="1" x14ac:dyDescent="0.35">
      <c r="I159" s="29"/>
    </row>
    <row r="160" spans="9:9" customFormat="1" x14ac:dyDescent="0.35">
      <c r="I160" s="29"/>
    </row>
    <row r="161" spans="9:9" customFormat="1" x14ac:dyDescent="0.35">
      <c r="I161" s="29"/>
    </row>
    <row r="162" spans="9:9" customFormat="1" x14ac:dyDescent="0.35">
      <c r="I162" s="29"/>
    </row>
    <row r="163" spans="9:9" customFormat="1" x14ac:dyDescent="0.35">
      <c r="I163" s="29"/>
    </row>
    <row r="164" spans="9:9" customFormat="1" x14ac:dyDescent="0.35">
      <c r="I164" s="29"/>
    </row>
    <row r="165" spans="9:9" customFormat="1" x14ac:dyDescent="0.35">
      <c r="I165" s="29"/>
    </row>
    <row r="166" spans="9:9" customFormat="1" x14ac:dyDescent="0.35">
      <c r="I166" s="29"/>
    </row>
    <row r="167" spans="9:9" customFormat="1" x14ac:dyDescent="0.35">
      <c r="I167" s="29"/>
    </row>
    <row r="168" spans="9:9" customFormat="1" x14ac:dyDescent="0.35">
      <c r="I168" s="29"/>
    </row>
    <row r="169" spans="9:9" customFormat="1" x14ac:dyDescent="0.35">
      <c r="I169" s="29"/>
    </row>
    <row r="170" spans="9:9" customFormat="1" x14ac:dyDescent="0.35">
      <c r="I170" s="29"/>
    </row>
    <row r="171" spans="9:9" customFormat="1" x14ac:dyDescent="0.35">
      <c r="I171" s="29"/>
    </row>
    <row r="172" spans="9:9" customFormat="1" x14ac:dyDescent="0.35">
      <c r="I172" s="29"/>
    </row>
    <row r="173" spans="9:9" customFormat="1" x14ac:dyDescent="0.35">
      <c r="I173" s="29"/>
    </row>
    <row r="174" spans="9:9" customFormat="1" x14ac:dyDescent="0.35">
      <c r="I174" s="29"/>
    </row>
    <row r="175" spans="9:9" customFormat="1" x14ac:dyDescent="0.35">
      <c r="I175" s="29"/>
    </row>
    <row r="176" spans="9:9" customFormat="1" x14ac:dyDescent="0.35">
      <c r="I176" s="29"/>
    </row>
    <row r="177" spans="9:9" customFormat="1" x14ac:dyDescent="0.35">
      <c r="I177" s="29"/>
    </row>
    <row r="178" spans="9:9" customFormat="1" x14ac:dyDescent="0.35">
      <c r="I178" s="29"/>
    </row>
    <row r="179" spans="9:9" customFormat="1" x14ac:dyDescent="0.35">
      <c r="I179" s="29"/>
    </row>
    <row r="180" spans="9:9" customFormat="1" x14ac:dyDescent="0.35">
      <c r="I180" s="29"/>
    </row>
    <row r="181" spans="9:9" customFormat="1" x14ac:dyDescent="0.35">
      <c r="I181" s="29"/>
    </row>
    <row r="182" spans="9:9" customFormat="1" x14ac:dyDescent="0.35">
      <c r="I182" s="29"/>
    </row>
    <row r="183" spans="9:9" customFormat="1" x14ac:dyDescent="0.35">
      <c r="I183" s="29"/>
    </row>
    <row r="184" spans="9:9" customFormat="1" x14ac:dyDescent="0.35">
      <c r="I184" s="29"/>
    </row>
    <row r="185" spans="9:9" customFormat="1" x14ac:dyDescent="0.35">
      <c r="I185" s="29"/>
    </row>
    <row r="186" spans="9:9" customFormat="1" x14ac:dyDescent="0.35">
      <c r="I186" s="29"/>
    </row>
    <row r="187" spans="9:9" customFormat="1" x14ac:dyDescent="0.35">
      <c r="I187" s="29"/>
    </row>
    <row r="188" spans="9:9" customFormat="1" x14ac:dyDescent="0.35">
      <c r="I188" s="29"/>
    </row>
    <row r="189" spans="9:9" customFormat="1" x14ac:dyDescent="0.35">
      <c r="I189" s="29"/>
    </row>
    <row r="190" spans="9:9" customFormat="1" x14ac:dyDescent="0.35">
      <c r="I190" s="29"/>
    </row>
    <row r="191" spans="9:9" customFormat="1" x14ac:dyDescent="0.35">
      <c r="I191" s="29"/>
    </row>
    <row r="192" spans="9:9" customFormat="1" x14ac:dyDescent="0.35">
      <c r="I192" s="29"/>
    </row>
    <row r="193" spans="9:9" customFormat="1" x14ac:dyDescent="0.35">
      <c r="I193" s="29"/>
    </row>
    <row r="194" spans="9:9" customFormat="1" x14ac:dyDescent="0.35">
      <c r="I194" s="29"/>
    </row>
    <row r="195" spans="9:9" customFormat="1" x14ac:dyDescent="0.35">
      <c r="I195" s="29"/>
    </row>
    <row r="196" spans="9:9" customFormat="1" x14ac:dyDescent="0.35">
      <c r="I196" s="29"/>
    </row>
    <row r="197" spans="9:9" customFormat="1" x14ac:dyDescent="0.35">
      <c r="I197" s="29"/>
    </row>
    <row r="198" spans="9:9" customFormat="1" x14ac:dyDescent="0.35">
      <c r="I198" s="29"/>
    </row>
    <row r="199" spans="9:9" customFormat="1" x14ac:dyDescent="0.35">
      <c r="I199" s="29"/>
    </row>
    <row r="200" spans="9:9" customFormat="1" x14ac:dyDescent="0.35">
      <c r="I200" s="29"/>
    </row>
    <row r="201" spans="9:9" customFormat="1" x14ac:dyDescent="0.35">
      <c r="I201" s="29"/>
    </row>
    <row r="202" spans="9:9" customFormat="1" x14ac:dyDescent="0.35">
      <c r="I202" s="29"/>
    </row>
    <row r="203" spans="9:9" customFormat="1" x14ac:dyDescent="0.35">
      <c r="I203" s="29"/>
    </row>
    <row r="204" spans="9:9" customFormat="1" x14ac:dyDescent="0.35">
      <c r="I204" s="29"/>
    </row>
    <row r="205" spans="9:9" customFormat="1" x14ac:dyDescent="0.35">
      <c r="I205" s="29"/>
    </row>
    <row r="206" spans="9:9" customFormat="1" x14ac:dyDescent="0.35">
      <c r="I206" s="29"/>
    </row>
    <row r="207" spans="9:9" customFormat="1" x14ac:dyDescent="0.35">
      <c r="I207" s="29"/>
    </row>
    <row r="208" spans="9:9" customFormat="1" x14ac:dyDescent="0.35">
      <c r="I208" s="29"/>
    </row>
    <row r="209" spans="9:9" customFormat="1" x14ac:dyDescent="0.35">
      <c r="I209" s="29"/>
    </row>
    <row r="210" spans="9:9" customFormat="1" x14ac:dyDescent="0.35">
      <c r="I210" s="29"/>
    </row>
    <row r="211" spans="9:9" customFormat="1" x14ac:dyDescent="0.35">
      <c r="I211" s="29"/>
    </row>
    <row r="212" spans="9:9" customFormat="1" x14ac:dyDescent="0.35">
      <c r="I212" s="29"/>
    </row>
    <row r="213" spans="9:9" customFormat="1" x14ac:dyDescent="0.35">
      <c r="I213" s="29"/>
    </row>
    <row r="214" spans="9:9" customFormat="1" x14ac:dyDescent="0.35">
      <c r="I214" s="29"/>
    </row>
    <row r="215" spans="9:9" customFormat="1" x14ac:dyDescent="0.35">
      <c r="I215" s="29"/>
    </row>
    <row r="216" spans="9:9" customFormat="1" x14ac:dyDescent="0.35">
      <c r="I216" s="29"/>
    </row>
    <row r="217" spans="9:9" customFormat="1" x14ac:dyDescent="0.35">
      <c r="I217" s="29"/>
    </row>
    <row r="218" spans="9:9" customFormat="1" x14ac:dyDescent="0.35">
      <c r="I218" s="29"/>
    </row>
    <row r="219" spans="9:9" customFormat="1" x14ac:dyDescent="0.35">
      <c r="I219" s="29"/>
    </row>
    <row r="220" spans="9:9" customFormat="1" x14ac:dyDescent="0.35">
      <c r="I220" s="29"/>
    </row>
    <row r="221" spans="9:9" customFormat="1" x14ac:dyDescent="0.35">
      <c r="I221" s="29"/>
    </row>
    <row r="222" spans="9:9" customFormat="1" x14ac:dyDescent="0.35">
      <c r="I222" s="29"/>
    </row>
    <row r="223" spans="9:9" customFormat="1" x14ac:dyDescent="0.35">
      <c r="I223" s="29"/>
    </row>
    <row r="224" spans="9:9" customFormat="1" x14ac:dyDescent="0.35">
      <c r="I224" s="29"/>
    </row>
    <row r="225" spans="9:9" customFormat="1" x14ac:dyDescent="0.35">
      <c r="I225" s="29"/>
    </row>
    <row r="226" spans="9:9" customFormat="1" x14ac:dyDescent="0.35">
      <c r="I226" s="29"/>
    </row>
    <row r="227" spans="9:9" customFormat="1" x14ac:dyDescent="0.35">
      <c r="I227" s="29"/>
    </row>
    <row r="228" spans="9:9" customFormat="1" x14ac:dyDescent="0.35">
      <c r="I228" s="29"/>
    </row>
    <row r="229" spans="9:9" customFormat="1" x14ac:dyDescent="0.35">
      <c r="I229" s="29"/>
    </row>
    <row r="230" spans="9:9" customFormat="1" x14ac:dyDescent="0.35">
      <c r="I230" s="29"/>
    </row>
    <row r="231" spans="9:9" customFormat="1" x14ac:dyDescent="0.35">
      <c r="I231" s="29"/>
    </row>
    <row r="232" spans="9:9" customFormat="1" x14ac:dyDescent="0.35">
      <c r="I232" s="29"/>
    </row>
    <row r="233" spans="9:9" customFormat="1" x14ac:dyDescent="0.35">
      <c r="I233" s="29"/>
    </row>
    <row r="234" spans="9:9" customFormat="1" x14ac:dyDescent="0.35">
      <c r="I234" s="29"/>
    </row>
    <row r="235" spans="9:9" customFormat="1" x14ac:dyDescent="0.35">
      <c r="I235" s="29"/>
    </row>
    <row r="236" spans="9:9" customFormat="1" x14ac:dyDescent="0.35">
      <c r="I236" s="29"/>
    </row>
    <row r="237" spans="9:9" customFormat="1" x14ac:dyDescent="0.35">
      <c r="I237" s="29"/>
    </row>
    <row r="238" spans="9:9" customFormat="1" x14ac:dyDescent="0.35">
      <c r="I238" s="29"/>
    </row>
    <row r="239" spans="9:9" customFormat="1" x14ac:dyDescent="0.35">
      <c r="I239" s="29"/>
    </row>
    <row r="240" spans="9:9" customFormat="1" x14ac:dyDescent="0.35">
      <c r="I240" s="29"/>
    </row>
    <row r="241" spans="9:9" customFormat="1" x14ac:dyDescent="0.35">
      <c r="I241" s="29"/>
    </row>
    <row r="242" spans="9:9" customFormat="1" x14ac:dyDescent="0.35">
      <c r="I242" s="29"/>
    </row>
    <row r="243" spans="9:9" customFormat="1" x14ac:dyDescent="0.35">
      <c r="I243" s="29"/>
    </row>
    <row r="244" spans="9:9" customFormat="1" x14ac:dyDescent="0.35">
      <c r="I244" s="29"/>
    </row>
    <row r="245" spans="9:9" customFormat="1" x14ac:dyDescent="0.35">
      <c r="I245" s="29"/>
    </row>
    <row r="246" spans="9:9" customFormat="1" x14ac:dyDescent="0.35">
      <c r="I246" s="29"/>
    </row>
    <row r="247" spans="9:9" customFormat="1" x14ac:dyDescent="0.35">
      <c r="I247" s="29"/>
    </row>
    <row r="248" spans="9:9" customFormat="1" x14ac:dyDescent="0.35">
      <c r="I248" s="29"/>
    </row>
    <row r="249" spans="9:9" customFormat="1" x14ac:dyDescent="0.35">
      <c r="I249" s="29"/>
    </row>
    <row r="250" spans="9:9" customFormat="1" x14ac:dyDescent="0.35">
      <c r="I250" s="29"/>
    </row>
    <row r="251" spans="9:9" customFormat="1" x14ac:dyDescent="0.35">
      <c r="I251" s="29"/>
    </row>
    <row r="252" spans="9:9" customFormat="1" x14ac:dyDescent="0.35">
      <c r="I252" s="29"/>
    </row>
    <row r="253" spans="9:9" customFormat="1" x14ac:dyDescent="0.35">
      <c r="I253" s="29"/>
    </row>
    <row r="254" spans="9:9" customFormat="1" x14ac:dyDescent="0.35">
      <c r="I254" s="29"/>
    </row>
    <row r="255" spans="9:9" customFormat="1" x14ac:dyDescent="0.35">
      <c r="I255" s="29"/>
    </row>
    <row r="256" spans="9:9" customFormat="1" x14ac:dyDescent="0.35">
      <c r="I256" s="29"/>
    </row>
    <row r="257" spans="9:9" customFormat="1" x14ac:dyDescent="0.35">
      <c r="I257" s="29"/>
    </row>
    <row r="258" spans="9:9" customFormat="1" x14ac:dyDescent="0.35">
      <c r="I258" s="29"/>
    </row>
    <row r="259" spans="9:9" customFormat="1" x14ac:dyDescent="0.35">
      <c r="I259" s="29"/>
    </row>
    <row r="260" spans="9:9" customFormat="1" x14ac:dyDescent="0.35">
      <c r="I260" s="29"/>
    </row>
    <row r="261" spans="9:9" customFormat="1" x14ac:dyDescent="0.35">
      <c r="I261" s="29"/>
    </row>
    <row r="262" spans="9:9" customFormat="1" x14ac:dyDescent="0.35">
      <c r="I262" s="29"/>
    </row>
    <row r="263" spans="9:9" customFormat="1" x14ac:dyDescent="0.35">
      <c r="I263" s="29"/>
    </row>
    <row r="264" spans="9:9" customFormat="1" x14ac:dyDescent="0.35">
      <c r="I264" s="29"/>
    </row>
    <row r="265" spans="9:9" customFormat="1" x14ac:dyDescent="0.35">
      <c r="I265" s="29"/>
    </row>
    <row r="266" spans="9:9" customFormat="1" x14ac:dyDescent="0.35">
      <c r="I266" s="29"/>
    </row>
    <row r="267" spans="9:9" customFormat="1" x14ac:dyDescent="0.35">
      <c r="I267" s="29"/>
    </row>
    <row r="268" spans="9:9" customFormat="1" x14ac:dyDescent="0.35">
      <c r="I268" s="29"/>
    </row>
    <row r="269" spans="9:9" customFormat="1" x14ac:dyDescent="0.35">
      <c r="I269" s="29"/>
    </row>
    <row r="270" spans="9:9" customFormat="1" x14ac:dyDescent="0.35">
      <c r="I270" s="29"/>
    </row>
    <row r="271" spans="9:9" customFormat="1" x14ac:dyDescent="0.35">
      <c r="I271" s="29"/>
    </row>
    <row r="272" spans="9:9" customFormat="1" x14ac:dyDescent="0.35">
      <c r="I272" s="29"/>
    </row>
    <row r="273" spans="9:9" customFormat="1" x14ac:dyDescent="0.35">
      <c r="I273" s="29"/>
    </row>
    <row r="274" spans="9:9" customFormat="1" x14ac:dyDescent="0.35">
      <c r="I274" s="29"/>
    </row>
    <row r="275" spans="9:9" customFormat="1" x14ac:dyDescent="0.35">
      <c r="I275" s="29"/>
    </row>
    <row r="276" spans="9:9" customFormat="1" x14ac:dyDescent="0.35">
      <c r="I276" s="29"/>
    </row>
    <row r="277" spans="9:9" customFormat="1" x14ac:dyDescent="0.35">
      <c r="I277" s="29"/>
    </row>
    <row r="278" spans="9:9" customFormat="1" x14ac:dyDescent="0.35">
      <c r="I278" s="29"/>
    </row>
    <row r="279" spans="9:9" customFormat="1" x14ac:dyDescent="0.35">
      <c r="I279" s="29"/>
    </row>
    <row r="280" spans="9:9" customFormat="1" x14ac:dyDescent="0.35">
      <c r="I280" s="29"/>
    </row>
    <row r="281" spans="9:9" customFormat="1" x14ac:dyDescent="0.35">
      <c r="I281" s="29"/>
    </row>
    <row r="282" spans="9:9" customFormat="1" x14ac:dyDescent="0.35">
      <c r="I282" s="29"/>
    </row>
    <row r="283" spans="9:9" customFormat="1" x14ac:dyDescent="0.35">
      <c r="I283" s="29"/>
    </row>
    <row r="284" spans="9:9" customFormat="1" x14ac:dyDescent="0.35">
      <c r="I284" s="29"/>
    </row>
    <row r="285" spans="9:9" customFormat="1" x14ac:dyDescent="0.35">
      <c r="I285" s="29"/>
    </row>
    <row r="286" spans="9:9" customFormat="1" x14ac:dyDescent="0.35">
      <c r="I286" s="29"/>
    </row>
    <row r="287" spans="9:9" customFormat="1" x14ac:dyDescent="0.35">
      <c r="I287" s="29"/>
    </row>
    <row r="288" spans="9:9" customFormat="1" x14ac:dyDescent="0.35">
      <c r="I288" s="29"/>
    </row>
    <row r="289" spans="9:9" customFormat="1" x14ac:dyDescent="0.35">
      <c r="I289" s="29"/>
    </row>
    <row r="290" spans="9:9" customFormat="1" x14ac:dyDescent="0.35">
      <c r="I290" s="29"/>
    </row>
    <row r="291" spans="9:9" customFormat="1" x14ac:dyDescent="0.35">
      <c r="I291" s="29"/>
    </row>
    <row r="292" spans="9:9" customFormat="1" x14ac:dyDescent="0.35">
      <c r="I292" s="29"/>
    </row>
    <row r="293" spans="9:9" customFormat="1" x14ac:dyDescent="0.35">
      <c r="I293" s="29"/>
    </row>
    <row r="294" spans="9:9" customFormat="1" x14ac:dyDescent="0.35">
      <c r="I294" s="29"/>
    </row>
    <row r="295" spans="9:9" customFormat="1" x14ac:dyDescent="0.35">
      <c r="I295" s="29"/>
    </row>
    <row r="296" spans="9:9" customFormat="1" x14ac:dyDescent="0.35">
      <c r="I296" s="29"/>
    </row>
    <row r="297" spans="9:9" customFormat="1" x14ac:dyDescent="0.35">
      <c r="I297" s="29"/>
    </row>
    <row r="298" spans="9:9" customFormat="1" x14ac:dyDescent="0.35">
      <c r="I298" s="29"/>
    </row>
    <row r="299" spans="9:9" customFormat="1" x14ac:dyDescent="0.35">
      <c r="I299" s="29"/>
    </row>
    <row r="300" spans="9:9" customFormat="1" x14ac:dyDescent="0.35">
      <c r="I300" s="29"/>
    </row>
    <row r="301" spans="9:9" customFormat="1" x14ac:dyDescent="0.35">
      <c r="I301" s="29"/>
    </row>
    <row r="302" spans="9:9" customFormat="1" x14ac:dyDescent="0.35">
      <c r="I302" s="29"/>
    </row>
    <row r="303" spans="9:9" customFormat="1" x14ac:dyDescent="0.35">
      <c r="I303" s="29"/>
    </row>
    <row r="304" spans="9:9" customFormat="1" x14ac:dyDescent="0.35">
      <c r="I304" s="29"/>
    </row>
    <row r="305" spans="9:9" customFormat="1" x14ac:dyDescent="0.35">
      <c r="I305" s="29"/>
    </row>
    <row r="306" spans="9:9" customFormat="1" x14ac:dyDescent="0.35">
      <c r="I306" s="29"/>
    </row>
    <row r="307" spans="9:9" customFormat="1" x14ac:dyDescent="0.35">
      <c r="I307" s="29"/>
    </row>
    <row r="308" spans="9:9" customFormat="1" x14ac:dyDescent="0.35">
      <c r="I308" s="29"/>
    </row>
    <row r="309" spans="9:9" customFormat="1" x14ac:dyDescent="0.35">
      <c r="I309" s="29"/>
    </row>
    <row r="310" spans="9:9" customFormat="1" x14ac:dyDescent="0.35">
      <c r="I310" s="29"/>
    </row>
    <row r="311" spans="9:9" customFormat="1" x14ac:dyDescent="0.35">
      <c r="I311" s="29"/>
    </row>
    <row r="312" spans="9:9" customFormat="1" x14ac:dyDescent="0.35">
      <c r="I312" s="29"/>
    </row>
    <row r="313" spans="9:9" customFormat="1" x14ac:dyDescent="0.35">
      <c r="I313" s="29"/>
    </row>
    <row r="314" spans="9:9" customFormat="1" x14ac:dyDescent="0.35">
      <c r="I314" s="29"/>
    </row>
    <row r="315" spans="9:9" customFormat="1" x14ac:dyDescent="0.35">
      <c r="I315" s="29"/>
    </row>
    <row r="316" spans="9:9" customFormat="1" x14ac:dyDescent="0.35">
      <c r="I316" s="29"/>
    </row>
    <row r="317" spans="9:9" customFormat="1" x14ac:dyDescent="0.35">
      <c r="I317" s="29"/>
    </row>
    <row r="318" spans="9:9" customFormat="1" x14ac:dyDescent="0.35">
      <c r="I318" s="29"/>
    </row>
    <row r="319" spans="9:9" customFormat="1" x14ac:dyDescent="0.35">
      <c r="I319" s="29"/>
    </row>
    <row r="320" spans="9:9" customFormat="1" x14ac:dyDescent="0.35">
      <c r="I320" s="29"/>
    </row>
    <row r="321" spans="9:9" customFormat="1" x14ac:dyDescent="0.35">
      <c r="I321" s="29"/>
    </row>
    <row r="322" spans="9:9" customFormat="1" x14ac:dyDescent="0.35">
      <c r="I322" s="29"/>
    </row>
    <row r="323" spans="9:9" customFormat="1" x14ac:dyDescent="0.35">
      <c r="I323" s="29"/>
    </row>
    <row r="324" spans="9:9" customFormat="1" x14ac:dyDescent="0.35">
      <c r="I324" s="29"/>
    </row>
    <row r="325" spans="9:9" customFormat="1" x14ac:dyDescent="0.35">
      <c r="I325" s="29"/>
    </row>
    <row r="326" spans="9:9" customFormat="1" x14ac:dyDescent="0.35">
      <c r="I326" s="29"/>
    </row>
    <row r="327" spans="9:9" customFormat="1" x14ac:dyDescent="0.35">
      <c r="I327" s="29"/>
    </row>
    <row r="328" spans="9:9" customFormat="1" x14ac:dyDescent="0.35">
      <c r="I328" s="29"/>
    </row>
    <row r="329" spans="9:9" customFormat="1" x14ac:dyDescent="0.35">
      <c r="I329" s="29"/>
    </row>
    <row r="330" spans="9:9" customFormat="1" x14ac:dyDescent="0.35">
      <c r="I330" s="29"/>
    </row>
    <row r="331" spans="9:9" customFormat="1" x14ac:dyDescent="0.35">
      <c r="I331" s="29"/>
    </row>
    <row r="332" spans="9:9" customFormat="1" x14ac:dyDescent="0.35">
      <c r="I332" s="29"/>
    </row>
    <row r="333" spans="9:9" customFormat="1" x14ac:dyDescent="0.35">
      <c r="I333" s="29"/>
    </row>
    <row r="334" spans="9:9" customFormat="1" x14ac:dyDescent="0.35">
      <c r="I334" s="29"/>
    </row>
    <row r="335" spans="9:9" customFormat="1" x14ac:dyDescent="0.35">
      <c r="I335" s="29"/>
    </row>
    <row r="336" spans="9:9" customFormat="1" x14ac:dyDescent="0.35">
      <c r="I336" s="29"/>
    </row>
    <row r="337" spans="9:9" customFormat="1" x14ac:dyDescent="0.35">
      <c r="I337" s="29"/>
    </row>
    <row r="338" spans="9:9" customFormat="1" x14ac:dyDescent="0.35">
      <c r="I338" s="29"/>
    </row>
    <row r="339" spans="9:9" customFormat="1" x14ac:dyDescent="0.35">
      <c r="I339" s="29"/>
    </row>
    <row r="340" spans="9:9" customFormat="1" x14ac:dyDescent="0.35">
      <c r="I340" s="29"/>
    </row>
    <row r="341" spans="9:9" customFormat="1" x14ac:dyDescent="0.35">
      <c r="I341" s="29"/>
    </row>
    <row r="342" spans="9:9" customFormat="1" x14ac:dyDescent="0.35">
      <c r="I342" s="29"/>
    </row>
    <row r="343" spans="9:9" customFormat="1" x14ac:dyDescent="0.35">
      <c r="I343" s="29"/>
    </row>
    <row r="344" spans="9:9" customFormat="1" x14ac:dyDescent="0.35">
      <c r="I344" s="29"/>
    </row>
    <row r="345" spans="9:9" customFormat="1" x14ac:dyDescent="0.35">
      <c r="I345" s="29"/>
    </row>
    <row r="346" spans="9:9" customFormat="1" x14ac:dyDescent="0.35">
      <c r="I346" s="29"/>
    </row>
    <row r="347" spans="9:9" customFormat="1" x14ac:dyDescent="0.35">
      <c r="I347" s="29"/>
    </row>
    <row r="348" spans="9:9" customFormat="1" x14ac:dyDescent="0.35">
      <c r="I348" s="29"/>
    </row>
    <row r="349" spans="9:9" customFormat="1" x14ac:dyDescent="0.35">
      <c r="I349" s="29"/>
    </row>
    <row r="350" spans="9:9" customFormat="1" x14ac:dyDescent="0.35">
      <c r="I350" s="29"/>
    </row>
    <row r="351" spans="9:9" customFormat="1" x14ac:dyDescent="0.35">
      <c r="I351" s="29"/>
    </row>
    <row r="352" spans="9:9" customFormat="1" x14ac:dyDescent="0.35">
      <c r="I352" s="29"/>
    </row>
    <row r="353" spans="9:9" customFormat="1" x14ac:dyDescent="0.35">
      <c r="I353" s="29"/>
    </row>
    <row r="354" spans="9:9" customFormat="1" x14ac:dyDescent="0.35">
      <c r="I354" s="29"/>
    </row>
    <row r="355" spans="9:9" customFormat="1" x14ac:dyDescent="0.35">
      <c r="I355" s="29"/>
    </row>
    <row r="356" spans="9:9" customFormat="1" x14ac:dyDescent="0.35">
      <c r="I356" s="29"/>
    </row>
    <row r="357" spans="9:9" customFormat="1" x14ac:dyDescent="0.35">
      <c r="I357" s="29"/>
    </row>
    <row r="358" spans="9:9" customFormat="1" x14ac:dyDescent="0.35">
      <c r="I358" s="29"/>
    </row>
    <row r="359" spans="9:9" customFormat="1" x14ac:dyDescent="0.35">
      <c r="I359" s="29"/>
    </row>
    <row r="360" spans="9:9" customFormat="1" x14ac:dyDescent="0.35">
      <c r="I360" s="29"/>
    </row>
    <row r="361" spans="9:9" customFormat="1" x14ac:dyDescent="0.35">
      <c r="I361" s="29"/>
    </row>
    <row r="362" spans="9:9" customFormat="1" x14ac:dyDescent="0.35">
      <c r="I362" s="29"/>
    </row>
    <row r="363" spans="9:9" customFormat="1" x14ac:dyDescent="0.35">
      <c r="I363" s="29"/>
    </row>
    <row r="364" spans="9:9" customFormat="1" x14ac:dyDescent="0.35">
      <c r="I364" s="29"/>
    </row>
    <row r="365" spans="9:9" customFormat="1" x14ac:dyDescent="0.35">
      <c r="I365" s="29"/>
    </row>
    <row r="366" spans="9:9" customFormat="1" x14ac:dyDescent="0.35">
      <c r="I366" s="29"/>
    </row>
    <row r="367" spans="9:9" customFormat="1" x14ac:dyDescent="0.35">
      <c r="I367" s="29"/>
    </row>
    <row r="368" spans="9:9" customFormat="1" x14ac:dyDescent="0.35">
      <c r="I368" s="29"/>
    </row>
    <row r="369" spans="9:9" customFormat="1" x14ac:dyDescent="0.35">
      <c r="I369" s="29"/>
    </row>
    <row r="370" spans="9:9" customFormat="1" x14ac:dyDescent="0.35">
      <c r="I370" s="29"/>
    </row>
    <row r="371" spans="9:9" customFormat="1" x14ac:dyDescent="0.35">
      <c r="I371" s="29"/>
    </row>
    <row r="372" spans="9:9" customFormat="1" x14ac:dyDescent="0.35">
      <c r="I372" s="29"/>
    </row>
    <row r="373" spans="9:9" customFormat="1" x14ac:dyDescent="0.35">
      <c r="I373" s="29"/>
    </row>
    <row r="374" spans="9:9" customFormat="1" x14ac:dyDescent="0.35">
      <c r="I374" s="29"/>
    </row>
    <row r="375" spans="9:9" customFormat="1" x14ac:dyDescent="0.35">
      <c r="I375" s="29"/>
    </row>
    <row r="376" spans="9:9" customFormat="1" x14ac:dyDescent="0.35">
      <c r="I376" s="29"/>
    </row>
    <row r="377" spans="9:9" customFormat="1" x14ac:dyDescent="0.35">
      <c r="I377" s="29"/>
    </row>
    <row r="378" spans="9:9" customFormat="1" x14ac:dyDescent="0.35">
      <c r="I378" s="29"/>
    </row>
    <row r="379" spans="9:9" customFormat="1" x14ac:dyDescent="0.35">
      <c r="I379" s="29"/>
    </row>
    <row r="380" spans="9:9" customFormat="1" x14ac:dyDescent="0.35">
      <c r="I380" s="29"/>
    </row>
    <row r="381" spans="9:9" customFormat="1" x14ac:dyDescent="0.35">
      <c r="I381" s="29"/>
    </row>
    <row r="382" spans="9:9" customFormat="1" x14ac:dyDescent="0.35">
      <c r="I382" s="29"/>
    </row>
    <row r="383" spans="9:9" customFormat="1" x14ac:dyDescent="0.35">
      <c r="I383" s="29"/>
    </row>
    <row r="384" spans="9:9" customFormat="1" x14ac:dyDescent="0.35">
      <c r="I384" s="29"/>
    </row>
    <row r="385" spans="9:9" customFormat="1" x14ac:dyDescent="0.35">
      <c r="I385" s="29"/>
    </row>
    <row r="386" spans="9:9" customFormat="1" x14ac:dyDescent="0.35">
      <c r="I386" s="29"/>
    </row>
    <row r="387" spans="9:9" customFormat="1" x14ac:dyDescent="0.35">
      <c r="I387" s="29"/>
    </row>
    <row r="388" spans="9:9" customFormat="1" x14ac:dyDescent="0.35">
      <c r="I388" s="29"/>
    </row>
    <row r="389" spans="9:9" customFormat="1" x14ac:dyDescent="0.35">
      <c r="I389" s="29"/>
    </row>
    <row r="390" spans="9:9" customFormat="1" x14ac:dyDescent="0.35">
      <c r="I390" s="29"/>
    </row>
    <row r="391" spans="9:9" customFormat="1" x14ac:dyDescent="0.35">
      <c r="I391" s="29"/>
    </row>
    <row r="392" spans="9:9" customFormat="1" x14ac:dyDescent="0.35">
      <c r="I392" s="29"/>
    </row>
    <row r="393" spans="9:9" customFormat="1" x14ac:dyDescent="0.35">
      <c r="I393" s="29"/>
    </row>
    <row r="394" spans="9:9" customFormat="1" x14ac:dyDescent="0.35">
      <c r="I394" s="29"/>
    </row>
    <row r="395" spans="9:9" customFormat="1" x14ac:dyDescent="0.35">
      <c r="I395" s="29"/>
    </row>
    <row r="396" spans="9:9" customFormat="1" x14ac:dyDescent="0.35">
      <c r="I396" s="29"/>
    </row>
    <row r="397" spans="9:9" customFormat="1" x14ac:dyDescent="0.35">
      <c r="I397" s="29"/>
    </row>
    <row r="398" spans="9:9" customFormat="1" x14ac:dyDescent="0.35">
      <c r="I398" s="29"/>
    </row>
    <row r="399" spans="9:9" customFormat="1" x14ac:dyDescent="0.35">
      <c r="I399" s="29"/>
    </row>
    <row r="400" spans="9:9" customFormat="1" x14ac:dyDescent="0.35">
      <c r="I400" s="29"/>
    </row>
    <row r="401" spans="9:9" customFormat="1" x14ac:dyDescent="0.35">
      <c r="I401" s="29"/>
    </row>
    <row r="402" spans="9:9" customFormat="1" x14ac:dyDescent="0.35">
      <c r="I402" s="29"/>
    </row>
    <row r="403" spans="9:9" customFormat="1" x14ac:dyDescent="0.35">
      <c r="I403" s="29"/>
    </row>
    <row r="404" spans="9:9" customFormat="1" x14ac:dyDescent="0.35">
      <c r="I404" s="29"/>
    </row>
    <row r="405" spans="9:9" customFormat="1" x14ac:dyDescent="0.35">
      <c r="I405" s="29"/>
    </row>
    <row r="406" spans="9:9" customFormat="1" x14ac:dyDescent="0.35">
      <c r="I406" s="29"/>
    </row>
    <row r="407" spans="9:9" customFormat="1" x14ac:dyDescent="0.35">
      <c r="I407" s="29"/>
    </row>
    <row r="408" spans="9:9" customFormat="1" x14ac:dyDescent="0.35">
      <c r="I408" s="29"/>
    </row>
    <row r="409" spans="9:9" customFormat="1" x14ac:dyDescent="0.35">
      <c r="I409" s="29"/>
    </row>
    <row r="410" spans="9:9" customFormat="1" x14ac:dyDescent="0.35">
      <c r="I410" s="29"/>
    </row>
    <row r="411" spans="9:9" customFormat="1" x14ac:dyDescent="0.35">
      <c r="I411" s="29"/>
    </row>
    <row r="412" spans="9:9" customFormat="1" x14ac:dyDescent="0.35">
      <c r="I412" s="29"/>
    </row>
    <row r="413" spans="9:9" customFormat="1" x14ac:dyDescent="0.35">
      <c r="I413" s="29"/>
    </row>
    <row r="414" spans="9:9" customFormat="1" x14ac:dyDescent="0.35">
      <c r="I414" s="29"/>
    </row>
    <row r="415" spans="9:9" customFormat="1" x14ac:dyDescent="0.35">
      <c r="I415" s="29"/>
    </row>
    <row r="416" spans="9:9" customFormat="1" x14ac:dyDescent="0.35">
      <c r="I416" s="29"/>
    </row>
    <row r="417" spans="9:9" customFormat="1" x14ac:dyDescent="0.35">
      <c r="I417" s="29"/>
    </row>
    <row r="418" spans="9:9" customFormat="1" x14ac:dyDescent="0.35">
      <c r="I418" s="29"/>
    </row>
    <row r="419" spans="9:9" customFormat="1" x14ac:dyDescent="0.35">
      <c r="I419" s="29"/>
    </row>
    <row r="420" spans="9:9" customFormat="1" x14ac:dyDescent="0.35">
      <c r="I420" s="29"/>
    </row>
    <row r="421" spans="9:9" customFormat="1" x14ac:dyDescent="0.35">
      <c r="I421" s="29"/>
    </row>
    <row r="422" spans="9:9" customFormat="1" x14ac:dyDescent="0.35">
      <c r="I422" s="29"/>
    </row>
    <row r="423" spans="9:9" customFormat="1" x14ac:dyDescent="0.35">
      <c r="I423" s="29"/>
    </row>
    <row r="424" spans="9:9" customFormat="1" x14ac:dyDescent="0.35">
      <c r="I424" s="29"/>
    </row>
    <row r="425" spans="9:9" customFormat="1" x14ac:dyDescent="0.35">
      <c r="I425" s="29"/>
    </row>
    <row r="426" spans="9:9" customFormat="1" x14ac:dyDescent="0.35">
      <c r="I426" s="29"/>
    </row>
    <row r="427" spans="9:9" customFormat="1" x14ac:dyDescent="0.35">
      <c r="I427" s="29"/>
    </row>
    <row r="428" spans="9:9" customFormat="1" x14ac:dyDescent="0.35">
      <c r="I428" s="29"/>
    </row>
    <row r="429" spans="9:9" customFormat="1" x14ac:dyDescent="0.35">
      <c r="I429" s="29"/>
    </row>
    <row r="430" spans="9:9" customFormat="1" x14ac:dyDescent="0.35">
      <c r="I430" s="29"/>
    </row>
    <row r="431" spans="9:9" customFormat="1" x14ac:dyDescent="0.35">
      <c r="I431" s="29"/>
    </row>
    <row r="432" spans="9:9" customFormat="1" x14ac:dyDescent="0.35">
      <c r="I432" s="29"/>
    </row>
    <row r="433" spans="9:9" customFormat="1" x14ac:dyDescent="0.35">
      <c r="I433" s="29"/>
    </row>
    <row r="434" spans="9:9" customFormat="1" x14ac:dyDescent="0.35">
      <c r="I434" s="29"/>
    </row>
    <row r="435" spans="9:9" customFormat="1" x14ac:dyDescent="0.35">
      <c r="I435" s="29"/>
    </row>
    <row r="436" spans="9:9" customFormat="1" x14ac:dyDescent="0.35">
      <c r="I436" s="29"/>
    </row>
    <row r="437" spans="9:9" customFormat="1" x14ac:dyDescent="0.35">
      <c r="I437" s="29"/>
    </row>
    <row r="438" spans="9:9" customFormat="1" x14ac:dyDescent="0.35">
      <c r="I438" s="29"/>
    </row>
    <row r="439" spans="9:9" customFormat="1" x14ac:dyDescent="0.35">
      <c r="I439" s="29"/>
    </row>
    <row r="440" spans="9:9" customFormat="1" x14ac:dyDescent="0.35">
      <c r="I440" s="29"/>
    </row>
    <row r="441" spans="9:9" customFormat="1" x14ac:dyDescent="0.35">
      <c r="I441" s="29"/>
    </row>
    <row r="442" spans="9:9" customFormat="1" x14ac:dyDescent="0.35">
      <c r="I442" s="29"/>
    </row>
    <row r="443" spans="9:9" customFormat="1" x14ac:dyDescent="0.35">
      <c r="I443" s="29"/>
    </row>
    <row r="444" spans="9:9" customFormat="1" x14ac:dyDescent="0.35">
      <c r="I444" s="29"/>
    </row>
    <row r="445" spans="9:9" customFormat="1" x14ac:dyDescent="0.35">
      <c r="I445" s="29"/>
    </row>
    <row r="446" spans="9:9" customFormat="1" x14ac:dyDescent="0.35">
      <c r="I446" s="29"/>
    </row>
    <row r="447" spans="9:9" customFormat="1" x14ac:dyDescent="0.35">
      <c r="I447" s="29"/>
    </row>
    <row r="448" spans="9:9" customFormat="1" x14ac:dyDescent="0.35">
      <c r="I448" s="29"/>
    </row>
    <row r="449" spans="9:9" customFormat="1" x14ac:dyDescent="0.35">
      <c r="I449" s="29"/>
    </row>
    <row r="450" spans="9:9" customFormat="1" x14ac:dyDescent="0.35">
      <c r="I450" s="29"/>
    </row>
    <row r="451" spans="9:9" customFormat="1" x14ac:dyDescent="0.35">
      <c r="I451" s="29"/>
    </row>
    <row r="452" spans="9:9" customFormat="1" x14ac:dyDescent="0.35">
      <c r="I452" s="29"/>
    </row>
    <row r="453" spans="9:9" customFormat="1" x14ac:dyDescent="0.35">
      <c r="I453" s="29"/>
    </row>
    <row r="454" spans="9:9" customFormat="1" x14ac:dyDescent="0.35">
      <c r="I454" s="29"/>
    </row>
    <row r="455" spans="9:9" customFormat="1" x14ac:dyDescent="0.35">
      <c r="I455" s="29"/>
    </row>
    <row r="456" spans="9:9" customFormat="1" x14ac:dyDescent="0.35">
      <c r="I456" s="29"/>
    </row>
    <row r="457" spans="9:9" customFormat="1" x14ac:dyDescent="0.35">
      <c r="I457" s="29"/>
    </row>
    <row r="458" spans="9:9" customFormat="1" x14ac:dyDescent="0.35">
      <c r="I458" s="29"/>
    </row>
    <row r="459" spans="9:9" customFormat="1" x14ac:dyDescent="0.35">
      <c r="I459" s="29"/>
    </row>
    <row r="460" spans="9:9" customFormat="1" x14ac:dyDescent="0.35">
      <c r="I460" s="29"/>
    </row>
    <row r="461" spans="9:9" customFormat="1" x14ac:dyDescent="0.35">
      <c r="I461" s="29"/>
    </row>
    <row r="462" spans="9:9" customFormat="1" x14ac:dyDescent="0.35">
      <c r="I462" s="29"/>
    </row>
    <row r="463" spans="9:9" customFormat="1" x14ac:dyDescent="0.35">
      <c r="I463" s="29"/>
    </row>
    <row r="464" spans="9:9" customFormat="1" x14ac:dyDescent="0.35">
      <c r="I464" s="29"/>
    </row>
    <row r="465" spans="9:9" customFormat="1" x14ac:dyDescent="0.35">
      <c r="I465" s="29"/>
    </row>
    <row r="466" spans="9:9" customFormat="1" x14ac:dyDescent="0.35">
      <c r="I466" s="29"/>
    </row>
    <row r="467" spans="9:9" customFormat="1" x14ac:dyDescent="0.35">
      <c r="I467" s="29"/>
    </row>
    <row r="468" spans="9:9" customFormat="1" x14ac:dyDescent="0.35">
      <c r="I468" s="29"/>
    </row>
    <row r="469" spans="9:9" customFormat="1" x14ac:dyDescent="0.35">
      <c r="I469" s="29"/>
    </row>
    <row r="470" spans="9:9" customFormat="1" x14ac:dyDescent="0.35">
      <c r="I470" s="29"/>
    </row>
    <row r="471" spans="9:9" customFormat="1" x14ac:dyDescent="0.35">
      <c r="I471" s="29"/>
    </row>
    <row r="472" spans="9:9" customFormat="1" x14ac:dyDescent="0.35">
      <c r="I472" s="29"/>
    </row>
    <row r="473" spans="9:9" customFormat="1" x14ac:dyDescent="0.35">
      <c r="I473" s="29"/>
    </row>
    <row r="474" spans="9:9" customFormat="1" x14ac:dyDescent="0.35">
      <c r="I474" s="29"/>
    </row>
    <row r="475" spans="9:9" customFormat="1" x14ac:dyDescent="0.35">
      <c r="I475" s="29"/>
    </row>
    <row r="476" spans="9:9" customFormat="1" x14ac:dyDescent="0.35">
      <c r="I476" s="29"/>
    </row>
    <row r="477" spans="9:9" customFormat="1" x14ac:dyDescent="0.35">
      <c r="I477" s="29"/>
    </row>
    <row r="478" spans="9:9" customFormat="1" x14ac:dyDescent="0.35">
      <c r="I478" s="29"/>
    </row>
    <row r="479" spans="9:9" customFormat="1" x14ac:dyDescent="0.35">
      <c r="I479" s="29"/>
    </row>
    <row r="480" spans="9:9" customFormat="1" x14ac:dyDescent="0.35">
      <c r="I480" s="29"/>
    </row>
    <row r="481" spans="9:9" customFormat="1" x14ac:dyDescent="0.35">
      <c r="I481" s="29"/>
    </row>
    <row r="482" spans="9:9" customFormat="1" x14ac:dyDescent="0.35">
      <c r="I482" s="29"/>
    </row>
    <row r="483" spans="9:9" customFormat="1" x14ac:dyDescent="0.35">
      <c r="I483" s="29"/>
    </row>
    <row r="484" spans="9:9" customFormat="1" x14ac:dyDescent="0.35">
      <c r="I484" s="29"/>
    </row>
    <row r="485" spans="9:9" customFormat="1" x14ac:dyDescent="0.35">
      <c r="I485" s="29"/>
    </row>
    <row r="486" spans="9:9" customFormat="1" x14ac:dyDescent="0.35">
      <c r="I486" s="29"/>
    </row>
    <row r="487" spans="9:9" customFormat="1" x14ac:dyDescent="0.35">
      <c r="I487" s="29"/>
    </row>
    <row r="488" spans="9:9" customFormat="1" x14ac:dyDescent="0.35">
      <c r="I488" s="29"/>
    </row>
    <row r="489" spans="9:9" customFormat="1" x14ac:dyDescent="0.35">
      <c r="I489" s="29"/>
    </row>
    <row r="490" spans="9:9" customFormat="1" x14ac:dyDescent="0.35">
      <c r="I490" s="29"/>
    </row>
    <row r="491" spans="9:9" customFormat="1" x14ac:dyDescent="0.35">
      <c r="I491" s="29"/>
    </row>
    <row r="492" spans="9:9" customFormat="1" x14ac:dyDescent="0.35">
      <c r="I492" s="29"/>
    </row>
    <row r="493" spans="9:9" customFormat="1" x14ac:dyDescent="0.35">
      <c r="I493" s="29"/>
    </row>
    <row r="494" spans="9:9" customFormat="1" x14ac:dyDescent="0.35">
      <c r="I494" s="29"/>
    </row>
    <row r="495" spans="9:9" customFormat="1" x14ac:dyDescent="0.35">
      <c r="I495" s="29"/>
    </row>
    <row r="496" spans="9:9" customFormat="1" x14ac:dyDescent="0.35">
      <c r="I496" s="29"/>
    </row>
    <row r="497" spans="9:9" customFormat="1" x14ac:dyDescent="0.35">
      <c r="I497" s="29"/>
    </row>
    <row r="498" spans="9:9" customFormat="1" x14ac:dyDescent="0.35">
      <c r="I498" s="29"/>
    </row>
    <row r="499" spans="9:9" customFormat="1" x14ac:dyDescent="0.35">
      <c r="I499" s="29"/>
    </row>
    <row r="500" spans="9:9" customFormat="1" x14ac:dyDescent="0.35">
      <c r="I500" s="29"/>
    </row>
    <row r="501" spans="9:9" customFormat="1" x14ac:dyDescent="0.35">
      <c r="I501" s="29"/>
    </row>
    <row r="502" spans="9:9" customFormat="1" x14ac:dyDescent="0.35">
      <c r="I502" s="29"/>
    </row>
    <row r="503" spans="9:9" customFormat="1" x14ac:dyDescent="0.35">
      <c r="I503" s="29"/>
    </row>
    <row r="504" spans="9:9" customFormat="1" x14ac:dyDescent="0.35">
      <c r="I504" s="29"/>
    </row>
    <row r="505" spans="9:9" customFormat="1" x14ac:dyDescent="0.35">
      <c r="I505" s="29"/>
    </row>
    <row r="506" spans="9:9" customFormat="1" x14ac:dyDescent="0.35">
      <c r="I506" s="29"/>
    </row>
    <row r="507" spans="9:9" customFormat="1" x14ac:dyDescent="0.35">
      <c r="I507" s="29"/>
    </row>
    <row r="508" spans="9:9" customFormat="1" x14ac:dyDescent="0.35">
      <c r="I508" s="29"/>
    </row>
    <row r="509" spans="9:9" customFormat="1" x14ac:dyDescent="0.35">
      <c r="I509" s="29"/>
    </row>
    <row r="510" spans="9:9" customFormat="1" x14ac:dyDescent="0.35">
      <c r="I510" s="29"/>
    </row>
    <row r="511" spans="9:9" customFormat="1" x14ac:dyDescent="0.35">
      <c r="I511" s="29"/>
    </row>
    <row r="512" spans="9:9" customFormat="1" x14ac:dyDescent="0.35">
      <c r="I512" s="29"/>
    </row>
    <row r="513" spans="9:9" customFormat="1" x14ac:dyDescent="0.35">
      <c r="I513" s="29"/>
    </row>
    <row r="514" spans="9:9" customFormat="1" x14ac:dyDescent="0.35">
      <c r="I514" s="29"/>
    </row>
    <row r="515" spans="9:9" customFormat="1" x14ac:dyDescent="0.35">
      <c r="I515" s="29"/>
    </row>
    <row r="516" spans="9:9" customFormat="1" x14ac:dyDescent="0.35">
      <c r="I516" s="29"/>
    </row>
    <row r="517" spans="9:9" customFormat="1" x14ac:dyDescent="0.35">
      <c r="I517" s="29"/>
    </row>
    <row r="518" spans="9:9" customFormat="1" x14ac:dyDescent="0.35">
      <c r="I518" s="29"/>
    </row>
    <row r="519" spans="9:9" customFormat="1" x14ac:dyDescent="0.35">
      <c r="I519" s="29"/>
    </row>
    <row r="520" spans="9:9" customFormat="1" x14ac:dyDescent="0.35">
      <c r="I520" s="29"/>
    </row>
    <row r="521" spans="9:9" customFormat="1" x14ac:dyDescent="0.35">
      <c r="I521" s="29"/>
    </row>
    <row r="522" spans="9:9" customFormat="1" x14ac:dyDescent="0.35">
      <c r="I522" s="29"/>
    </row>
    <row r="523" spans="9:9" customFormat="1" x14ac:dyDescent="0.35">
      <c r="I523" s="29"/>
    </row>
    <row r="524" spans="9:9" customFormat="1" x14ac:dyDescent="0.35">
      <c r="I524" s="29"/>
    </row>
    <row r="525" spans="9:9" customFormat="1" x14ac:dyDescent="0.35">
      <c r="I525" s="29"/>
    </row>
    <row r="526" spans="9:9" customFormat="1" x14ac:dyDescent="0.35">
      <c r="I526" s="29"/>
    </row>
    <row r="527" spans="9:9" customFormat="1" x14ac:dyDescent="0.35">
      <c r="I527" s="29"/>
    </row>
    <row r="528" spans="9:9" customFormat="1" x14ac:dyDescent="0.35">
      <c r="I528" s="29"/>
    </row>
    <row r="529" spans="9:9" customFormat="1" x14ac:dyDescent="0.35">
      <c r="I529" s="29"/>
    </row>
    <row r="530" spans="9:9" customFormat="1" x14ac:dyDescent="0.35">
      <c r="I530" s="29"/>
    </row>
    <row r="531" spans="9:9" customFormat="1" x14ac:dyDescent="0.35">
      <c r="I531" s="29"/>
    </row>
    <row r="532" spans="9:9" customFormat="1" x14ac:dyDescent="0.35">
      <c r="I532" s="29"/>
    </row>
    <row r="533" spans="9:9" customFormat="1" x14ac:dyDescent="0.35">
      <c r="I533" s="29"/>
    </row>
    <row r="534" spans="9:9" customFormat="1" x14ac:dyDescent="0.35">
      <c r="I534" s="29"/>
    </row>
    <row r="535" spans="9:9" customFormat="1" x14ac:dyDescent="0.35">
      <c r="I535" s="29"/>
    </row>
    <row r="536" spans="9:9" customFormat="1" x14ac:dyDescent="0.35">
      <c r="I536" s="29"/>
    </row>
    <row r="537" spans="9:9" customFormat="1" x14ac:dyDescent="0.35">
      <c r="I537" s="29"/>
    </row>
    <row r="538" spans="9:9" customFormat="1" x14ac:dyDescent="0.35">
      <c r="I538" s="29"/>
    </row>
    <row r="539" spans="9:9" customFormat="1" x14ac:dyDescent="0.35">
      <c r="I539" s="29"/>
    </row>
    <row r="540" spans="9:9" customFormat="1" x14ac:dyDescent="0.35">
      <c r="I540" s="29"/>
    </row>
    <row r="541" spans="9:9" customFormat="1" x14ac:dyDescent="0.35">
      <c r="I541" s="29"/>
    </row>
    <row r="542" spans="9:9" customFormat="1" x14ac:dyDescent="0.35">
      <c r="I542" s="29"/>
    </row>
    <row r="543" spans="9:9" customFormat="1" x14ac:dyDescent="0.35">
      <c r="I543" s="29"/>
    </row>
    <row r="544" spans="9:9" customFormat="1" x14ac:dyDescent="0.35">
      <c r="I544" s="29"/>
    </row>
    <row r="545" spans="9:9" customFormat="1" x14ac:dyDescent="0.35">
      <c r="I545" s="29"/>
    </row>
    <row r="546" spans="9:9" customFormat="1" x14ac:dyDescent="0.35">
      <c r="I546" s="29"/>
    </row>
    <row r="547" spans="9:9" customFormat="1" x14ac:dyDescent="0.35">
      <c r="I547" s="29"/>
    </row>
    <row r="548" spans="9:9" customFormat="1" x14ac:dyDescent="0.35">
      <c r="I548" s="29"/>
    </row>
    <row r="549" spans="9:9" customFormat="1" x14ac:dyDescent="0.35">
      <c r="I549" s="29"/>
    </row>
    <row r="550" spans="9:9" customFormat="1" x14ac:dyDescent="0.35">
      <c r="I550" s="29"/>
    </row>
    <row r="551" spans="9:9" customFormat="1" x14ac:dyDescent="0.35">
      <c r="I551" s="29"/>
    </row>
    <row r="552" spans="9:9" customFormat="1" x14ac:dyDescent="0.35">
      <c r="I552" s="29"/>
    </row>
    <row r="553" spans="9:9" customFormat="1" x14ac:dyDescent="0.35">
      <c r="I553" s="29"/>
    </row>
    <row r="554" spans="9:9" customFormat="1" x14ac:dyDescent="0.35">
      <c r="I554" s="29"/>
    </row>
    <row r="555" spans="9:9" customFormat="1" x14ac:dyDescent="0.35">
      <c r="I555" s="29"/>
    </row>
    <row r="556" spans="9:9" customFormat="1" x14ac:dyDescent="0.35">
      <c r="I556" s="29"/>
    </row>
    <row r="557" spans="9:9" customFormat="1" x14ac:dyDescent="0.35">
      <c r="I557" s="29"/>
    </row>
    <row r="558" spans="9:9" customFormat="1" x14ac:dyDescent="0.35">
      <c r="I558" s="29"/>
    </row>
    <row r="559" spans="9:9" customFormat="1" x14ac:dyDescent="0.35">
      <c r="I559" s="29"/>
    </row>
    <row r="560" spans="9:9" customFormat="1" x14ac:dyDescent="0.35">
      <c r="I560" s="29"/>
    </row>
    <row r="561" spans="9:9" customFormat="1" x14ac:dyDescent="0.35">
      <c r="I561" s="29"/>
    </row>
    <row r="562" spans="9:9" customFormat="1" x14ac:dyDescent="0.35">
      <c r="I562" s="29"/>
    </row>
    <row r="563" spans="9:9" customFormat="1" x14ac:dyDescent="0.35">
      <c r="I563" s="29"/>
    </row>
    <row r="564" spans="9:9" customFormat="1" x14ac:dyDescent="0.35">
      <c r="I564" s="29"/>
    </row>
    <row r="565" spans="9:9" customFormat="1" x14ac:dyDescent="0.35">
      <c r="I565" s="29"/>
    </row>
    <row r="566" spans="9:9" customFormat="1" x14ac:dyDescent="0.35">
      <c r="I566" s="29"/>
    </row>
    <row r="567" spans="9:9" customFormat="1" x14ac:dyDescent="0.35">
      <c r="I567" s="29"/>
    </row>
    <row r="568" spans="9:9" customFormat="1" x14ac:dyDescent="0.35">
      <c r="I568" s="29"/>
    </row>
    <row r="569" spans="9:9" customFormat="1" x14ac:dyDescent="0.35">
      <c r="I569" s="29"/>
    </row>
    <row r="570" spans="9:9" customFormat="1" x14ac:dyDescent="0.35">
      <c r="I570" s="29"/>
    </row>
    <row r="571" spans="9:9" customFormat="1" x14ac:dyDescent="0.35">
      <c r="I571" s="29"/>
    </row>
    <row r="572" spans="9:9" customFormat="1" x14ac:dyDescent="0.35">
      <c r="I572" s="29"/>
    </row>
    <row r="573" spans="9:9" customFormat="1" x14ac:dyDescent="0.35">
      <c r="I573" s="29"/>
    </row>
    <row r="574" spans="9:9" customFormat="1" x14ac:dyDescent="0.35">
      <c r="I574" s="29"/>
    </row>
    <row r="575" spans="9:9" customFormat="1" x14ac:dyDescent="0.35">
      <c r="I575" s="29"/>
    </row>
    <row r="576" spans="9:9" customFormat="1" x14ac:dyDescent="0.35">
      <c r="I576" s="29"/>
    </row>
    <row r="577" spans="9:9" customFormat="1" x14ac:dyDescent="0.35">
      <c r="I577" s="29"/>
    </row>
    <row r="578" spans="9:9" customFormat="1" x14ac:dyDescent="0.35">
      <c r="I578" s="29"/>
    </row>
    <row r="579" spans="9:9" customFormat="1" x14ac:dyDescent="0.35">
      <c r="I579" s="29"/>
    </row>
    <row r="580" spans="9:9" customFormat="1" x14ac:dyDescent="0.35">
      <c r="I580" s="29"/>
    </row>
    <row r="581" spans="9:9" customFormat="1" x14ac:dyDescent="0.35">
      <c r="I581" s="29"/>
    </row>
    <row r="582" spans="9:9" customFormat="1" x14ac:dyDescent="0.35">
      <c r="I582" s="29"/>
    </row>
    <row r="583" spans="9:9" customFormat="1" x14ac:dyDescent="0.35">
      <c r="I583" s="29"/>
    </row>
    <row r="584" spans="9:9" customFormat="1" x14ac:dyDescent="0.35">
      <c r="I584" s="29"/>
    </row>
    <row r="585" spans="9:9" customFormat="1" x14ac:dyDescent="0.35">
      <c r="I585" s="29"/>
    </row>
    <row r="586" spans="9:9" customFormat="1" x14ac:dyDescent="0.35">
      <c r="I586" s="29"/>
    </row>
    <row r="587" spans="9:9" customFormat="1" x14ac:dyDescent="0.35">
      <c r="I587" s="29"/>
    </row>
    <row r="588" spans="9:9" customFormat="1" x14ac:dyDescent="0.35">
      <c r="I588" s="29"/>
    </row>
    <row r="589" spans="9:9" customFormat="1" x14ac:dyDescent="0.35">
      <c r="I589" s="29"/>
    </row>
    <row r="590" spans="9:9" customFormat="1" x14ac:dyDescent="0.35">
      <c r="I590" s="29"/>
    </row>
    <row r="591" spans="9:9" customFormat="1" x14ac:dyDescent="0.35">
      <c r="I591" s="29"/>
    </row>
    <row r="592" spans="9:9" customFormat="1" x14ac:dyDescent="0.35">
      <c r="I592" s="29"/>
    </row>
    <row r="593" spans="9:9" customFormat="1" x14ac:dyDescent="0.35">
      <c r="I593" s="29"/>
    </row>
    <row r="594" spans="9:9" customFormat="1" x14ac:dyDescent="0.35">
      <c r="I594" s="29"/>
    </row>
    <row r="595" spans="9:9" customFormat="1" x14ac:dyDescent="0.35">
      <c r="I595" s="29"/>
    </row>
    <row r="596" spans="9:9" customFormat="1" x14ac:dyDescent="0.35">
      <c r="I596" s="29"/>
    </row>
    <row r="597" spans="9:9" customFormat="1" x14ac:dyDescent="0.35">
      <c r="I597" s="29"/>
    </row>
    <row r="598" spans="9:9" customFormat="1" x14ac:dyDescent="0.35">
      <c r="I598" s="29"/>
    </row>
    <row r="599" spans="9:9" customFormat="1" x14ac:dyDescent="0.35">
      <c r="I599" s="29"/>
    </row>
    <row r="600" spans="9:9" customFormat="1" x14ac:dyDescent="0.35">
      <c r="I600" s="29"/>
    </row>
    <row r="601" spans="9:9" customFormat="1" x14ac:dyDescent="0.35">
      <c r="I601" s="29"/>
    </row>
    <row r="602" spans="9:9" customFormat="1" x14ac:dyDescent="0.35">
      <c r="I602" s="29"/>
    </row>
    <row r="603" spans="9:9" customFormat="1" x14ac:dyDescent="0.35">
      <c r="I603" s="29"/>
    </row>
    <row r="604" spans="9:9" customFormat="1" x14ac:dyDescent="0.35">
      <c r="I604" s="29"/>
    </row>
    <row r="605" spans="9:9" customFormat="1" x14ac:dyDescent="0.35">
      <c r="I605" s="29"/>
    </row>
    <row r="606" spans="9:9" customFormat="1" x14ac:dyDescent="0.35">
      <c r="I606" s="29"/>
    </row>
    <row r="607" spans="9:9" customFormat="1" x14ac:dyDescent="0.35">
      <c r="I607" s="29"/>
    </row>
    <row r="608" spans="9:9" customFormat="1" x14ac:dyDescent="0.35">
      <c r="I608" s="29"/>
    </row>
    <row r="609" spans="9:9" customFormat="1" x14ac:dyDescent="0.35">
      <c r="I609" s="29"/>
    </row>
    <row r="610" spans="9:9" customFormat="1" x14ac:dyDescent="0.35">
      <c r="I610" s="29"/>
    </row>
    <row r="611" spans="9:9" customFormat="1" x14ac:dyDescent="0.35">
      <c r="I611" s="29"/>
    </row>
    <row r="612" spans="9:9" customFormat="1" x14ac:dyDescent="0.35">
      <c r="I612" s="29"/>
    </row>
    <row r="613" spans="9:9" customFormat="1" x14ac:dyDescent="0.35">
      <c r="I613" s="29"/>
    </row>
    <row r="614" spans="9:9" customFormat="1" x14ac:dyDescent="0.35">
      <c r="I614" s="29"/>
    </row>
    <row r="615" spans="9:9" customFormat="1" x14ac:dyDescent="0.35">
      <c r="I615" s="29"/>
    </row>
    <row r="616" spans="9:9" customFormat="1" x14ac:dyDescent="0.35">
      <c r="I616" s="29"/>
    </row>
    <row r="617" spans="9:9" customFormat="1" x14ac:dyDescent="0.35">
      <c r="I617" s="29"/>
    </row>
    <row r="618" spans="9:9" customFormat="1" x14ac:dyDescent="0.35">
      <c r="I618" s="29"/>
    </row>
    <row r="619" spans="9:9" customFormat="1" x14ac:dyDescent="0.35">
      <c r="I619" s="29"/>
    </row>
    <row r="620" spans="9:9" customFormat="1" x14ac:dyDescent="0.35">
      <c r="I620" s="29"/>
    </row>
    <row r="621" spans="9:9" customFormat="1" x14ac:dyDescent="0.35">
      <c r="I621" s="29"/>
    </row>
    <row r="622" spans="9:9" customFormat="1" x14ac:dyDescent="0.35">
      <c r="I622" s="29"/>
    </row>
    <row r="623" spans="9:9" customFormat="1" x14ac:dyDescent="0.35">
      <c r="I623" s="29"/>
    </row>
    <row r="624" spans="9:9" customFormat="1" x14ac:dyDescent="0.35">
      <c r="I624" s="29"/>
    </row>
    <row r="625" spans="9:9" customFormat="1" x14ac:dyDescent="0.35">
      <c r="I625" s="29"/>
    </row>
    <row r="626" spans="9:9" customFormat="1" x14ac:dyDescent="0.35">
      <c r="I626" s="29"/>
    </row>
    <row r="627" spans="9:9" customFormat="1" x14ac:dyDescent="0.35">
      <c r="I627" s="29"/>
    </row>
    <row r="628" spans="9:9" customFormat="1" x14ac:dyDescent="0.35">
      <c r="I628" s="29"/>
    </row>
    <row r="629" spans="9:9" customFormat="1" x14ac:dyDescent="0.35">
      <c r="I629" s="29"/>
    </row>
    <row r="630" spans="9:9" customFormat="1" x14ac:dyDescent="0.35">
      <c r="I630" s="29"/>
    </row>
    <row r="631" spans="9:9" customFormat="1" x14ac:dyDescent="0.35">
      <c r="I631" s="29"/>
    </row>
    <row r="632" spans="9:9" customFormat="1" x14ac:dyDescent="0.35">
      <c r="I632" s="29"/>
    </row>
    <row r="633" spans="9:9" customFormat="1" x14ac:dyDescent="0.35">
      <c r="I633" s="29"/>
    </row>
    <row r="634" spans="9:9" customFormat="1" x14ac:dyDescent="0.35">
      <c r="I634" s="29"/>
    </row>
    <row r="635" spans="9:9" customFormat="1" x14ac:dyDescent="0.35">
      <c r="I635" s="29"/>
    </row>
    <row r="636" spans="9:9" customFormat="1" x14ac:dyDescent="0.35">
      <c r="I636" s="29"/>
    </row>
    <row r="637" spans="9:9" customFormat="1" x14ac:dyDescent="0.35">
      <c r="I637" s="29"/>
    </row>
    <row r="638" spans="9:9" customFormat="1" x14ac:dyDescent="0.35">
      <c r="I638" s="29"/>
    </row>
    <row r="639" spans="9:9" customFormat="1" x14ac:dyDescent="0.35">
      <c r="I639" s="29"/>
    </row>
    <row r="640" spans="9:9" customFormat="1" x14ac:dyDescent="0.35">
      <c r="I640" s="29"/>
    </row>
    <row r="641" spans="9:9" customFormat="1" x14ac:dyDescent="0.35">
      <c r="I641" s="29"/>
    </row>
    <row r="642" spans="9:9" customFormat="1" x14ac:dyDescent="0.35">
      <c r="I642" s="29"/>
    </row>
    <row r="643" spans="9:9" customFormat="1" x14ac:dyDescent="0.35">
      <c r="I643" s="29"/>
    </row>
    <row r="644" spans="9:9" customFormat="1" x14ac:dyDescent="0.35">
      <c r="I644" s="29"/>
    </row>
    <row r="645" spans="9:9" customFormat="1" x14ac:dyDescent="0.35">
      <c r="I645" s="29"/>
    </row>
    <row r="646" spans="9:9" customFormat="1" x14ac:dyDescent="0.35">
      <c r="I646" s="29"/>
    </row>
    <row r="647" spans="9:9" customFormat="1" x14ac:dyDescent="0.35">
      <c r="I647" s="29"/>
    </row>
    <row r="648" spans="9:9" customFormat="1" x14ac:dyDescent="0.35">
      <c r="I648" s="29"/>
    </row>
    <row r="649" spans="9:9" customFormat="1" x14ac:dyDescent="0.35">
      <c r="I649" s="29"/>
    </row>
    <row r="650" spans="9:9" customFormat="1" x14ac:dyDescent="0.35">
      <c r="I650" s="29"/>
    </row>
    <row r="651" spans="9:9" customFormat="1" x14ac:dyDescent="0.35">
      <c r="I651" s="29"/>
    </row>
    <row r="652" spans="9:9" customFormat="1" x14ac:dyDescent="0.35">
      <c r="I652" s="29"/>
    </row>
    <row r="653" spans="9:9" customFormat="1" x14ac:dyDescent="0.35">
      <c r="I653" s="29"/>
    </row>
    <row r="654" spans="9:9" customFormat="1" x14ac:dyDescent="0.35">
      <c r="I654" s="29"/>
    </row>
    <row r="655" spans="9:9" customFormat="1" x14ac:dyDescent="0.35">
      <c r="I655" s="29"/>
    </row>
    <row r="656" spans="9:9" customFormat="1" x14ac:dyDescent="0.35">
      <c r="I656" s="29"/>
    </row>
    <row r="657" spans="9:9" customFormat="1" x14ac:dyDescent="0.35">
      <c r="I657" s="29"/>
    </row>
    <row r="658" spans="9:9" customFormat="1" x14ac:dyDescent="0.35">
      <c r="I658" s="29"/>
    </row>
    <row r="659" spans="9:9" customFormat="1" x14ac:dyDescent="0.35">
      <c r="I659" s="29"/>
    </row>
    <row r="660" spans="9:9" customFormat="1" x14ac:dyDescent="0.35">
      <c r="I660" s="29"/>
    </row>
    <row r="661" spans="9:9" customFormat="1" x14ac:dyDescent="0.35">
      <c r="I661" s="29"/>
    </row>
    <row r="662" spans="9:9" customFormat="1" x14ac:dyDescent="0.35">
      <c r="I662" s="29"/>
    </row>
    <row r="663" spans="9:9" customFormat="1" x14ac:dyDescent="0.35">
      <c r="I663" s="29"/>
    </row>
    <row r="664" spans="9:9" customFormat="1" x14ac:dyDescent="0.35">
      <c r="I664" s="29"/>
    </row>
    <row r="665" spans="9:9" customFormat="1" x14ac:dyDescent="0.35">
      <c r="I665" s="29"/>
    </row>
    <row r="666" spans="9:9" customFormat="1" x14ac:dyDescent="0.35">
      <c r="I666" s="29"/>
    </row>
    <row r="667" spans="9:9" customFormat="1" x14ac:dyDescent="0.35">
      <c r="I667" s="29"/>
    </row>
    <row r="668" spans="9:9" customFormat="1" x14ac:dyDescent="0.35">
      <c r="I668" s="29"/>
    </row>
    <row r="669" spans="9:9" customFormat="1" x14ac:dyDescent="0.35">
      <c r="I669" s="29"/>
    </row>
    <row r="670" spans="9:9" customFormat="1" x14ac:dyDescent="0.35">
      <c r="I670" s="29"/>
    </row>
    <row r="671" spans="9:9" customFormat="1" x14ac:dyDescent="0.35">
      <c r="I671" s="29"/>
    </row>
    <row r="672" spans="9:9" customFormat="1" x14ac:dyDescent="0.35">
      <c r="I672" s="29"/>
    </row>
    <row r="673" spans="9:9" customFormat="1" x14ac:dyDescent="0.35">
      <c r="I673" s="29"/>
    </row>
    <row r="674" spans="9:9" customFormat="1" x14ac:dyDescent="0.35">
      <c r="I674" s="29"/>
    </row>
    <row r="675" spans="9:9" customFormat="1" x14ac:dyDescent="0.35">
      <c r="I675" s="29"/>
    </row>
    <row r="676" spans="9:9" customFormat="1" x14ac:dyDescent="0.35">
      <c r="I676" s="29"/>
    </row>
    <row r="677" spans="9:9" customFormat="1" x14ac:dyDescent="0.35">
      <c r="I677" s="29"/>
    </row>
    <row r="678" spans="9:9" customFormat="1" x14ac:dyDescent="0.35">
      <c r="I678" s="29"/>
    </row>
    <row r="679" spans="9:9" customFormat="1" x14ac:dyDescent="0.35">
      <c r="I679" s="29"/>
    </row>
    <row r="680" spans="9:9" customFormat="1" x14ac:dyDescent="0.35">
      <c r="I680" s="29"/>
    </row>
    <row r="681" spans="9:9" customFormat="1" x14ac:dyDescent="0.35">
      <c r="I681" s="29"/>
    </row>
    <row r="682" spans="9:9" customFormat="1" x14ac:dyDescent="0.35">
      <c r="I682" s="29"/>
    </row>
    <row r="683" spans="9:9" customFormat="1" x14ac:dyDescent="0.35">
      <c r="I683" s="29"/>
    </row>
    <row r="684" spans="9:9" customFormat="1" x14ac:dyDescent="0.35">
      <c r="I684" s="29"/>
    </row>
    <row r="685" spans="9:9" customFormat="1" x14ac:dyDescent="0.35">
      <c r="I685" s="29"/>
    </row>
    <row r="686" spans="9:9" customFormat="1" x14ac:dyDescent="0.35">
      <c r="I686" s="29"/>
    </row>
    <row r="687" spans="9:9" customFormat="1" x14ac:dyDescent="0.35">
      <c r="I687" s="29"/>
    </row>
    <row r="688" spans="9:9" customFormat="1" x14ac:dyDescent="0.35">
      <c r="I688" s="29"/>
    </row>
    <row r="689" spans="9:9" customFormat="1" x14ac:dyDescent="0.35">
      <c r="I689" s="29"/>
    </row>
    <row r="690" spans="9:9" customFormat="1" x14ac:dyDescent="0.35">
      <c r="I690" s="29"/>
    </row>
    <row r="691" spans="9:9" customFormat="1" x14ac:dyDescent="0.35">
      <c r="I691" s="29"/>
    </row>
    <row r="692" spans="9:9" customFormat="1" x14ac:dyDescent="0.35">
      <c r="I692" s="29"/>
    </row>
    <row r="693" spans="9:9" customFormat="1" x14ac:dyDescent="0.35">
      <c r="I693" s="29"/>
    </row>
    <row r="694" spans="9:9" customFormat="1" x14ac:dyDescent="0.35">
      <c r="I694" s="29"/>
    </row>
    <row r="695" spans="9:9" customFormat="1" x14ac:dyDescent="0.35">
      <c r="I695" s="29"/>
    </row>
    <row r="696" spans="9:9" customFormat="1" x14ac:dyDescent="0.35">
      <c r="I696" s="29"/>
    </row>
    <row r="697" spans="9:9" customFormat="1" x14ac:dyDescent="0.35">
      <c r="I697" s="29"/>
    </row>
    <row r="698" spans="9:9" customFormat="1" x14ac:dyDescent="0.35">
      <c r="I698" s="29"/>
    </row>
    <row r="699" spans="9:9" customFormat="1" x14ac:dyDescent="0.35">
      <c r="I699" s="29"/>
    </row>
    <row r="700" spans="9:9" customFormat="1" x14ac:dyDescent="0.35">
      <c r="I700" s="29"/>
    </row>
    <row r="701" spans="9:9" customFormat="1" x14ac:dyDescent="0.35">
      <c r="I701" s="29"/>
    </row>
    <row r="702" spans="9:9" customFormat="1" x14ac:dyDescent="0.35">
      <c r="I702" s="29"/>
    </row>
    <row r="703" spans="9:9" customFormat="1" x14ac:dyDescent="0.35">
      <c r="I703" s="29"/>
    </row>
    <row r="704" spans="9:9" customFormat="1" x14ac:dyDescent="0.35">
      <c r="I704" s="29"/>
    </row>
    <row r="705" spans="9:9" customFormat="1" x14ac:dyDescent="0.35">
      <c r="I705" s="29"/>
    </row>
    <row r="706" spans="9:9" customFormat="1" x14ac:dyDescent="0.35">
      <c r="I706" s="29"/>
    </row>
    <row r="707" spans="9:9" customFormat="1" x14ac:dyDescent="0.35">
      <c r="I707" s="29"/>
    </row>
    <row r="708" spans="9:9" customFormat="1" x14ac:dyDescent="0.35">
      <c r="I708" s="29"/>
    </row>
    <row r="709" spans="9:9" customFormat="1" x14ac:dyDescent="0.35">
      <c r="I709" s="29"/>
    </row>
    <row r="710" spans="9:9" customFormat="1" x14ac:dyDescent="0.35">
      <c r="I710" s="29"/>
    </row>
    <row r="711" spans="9:9" customFormat="1" x14ac:dyDescent="0.35">
      <c r="I711" s="29"/>
    </row>
    <row r="712" spans="9:9" customFormat="1" x14ac:dyDescent="0.35">
      <c r="I712" s="29"/>
    </row>
    <row r="713" spans="9:9" customFormat="1" x14ac:dyDescent="0.35">
      <c r="I713" s="29"/>
    </row>
    <row r="714" spans="9:9" customFormat="1" x14ac:dyDescent="0.35">
      <c r="I714" s="29"/>
    </row>
    <row r="715" spans="9:9" customFormat="1" x14ac:dyDescent="0.35">
      <c r="I715" s="29"/>
    </row>
    <row r="716" spans="9:9" customFormat="1" x14ac:dyDescent="0.35">
      <c r="I716" s="29"/>
    </row>
    <row r="717" spans="9:9" customFormat="1" x14ac:dyDescent="0.35">
      <c r="I717" s="29"/>
    </row>
    <row r="718" spans="9:9" customFormat="1" x14ac:dyDescent="0.35">
      <c r="I718" s="29"/>
    </row>
    <row r="719" spans="9:9" customFormat="1" x14ac:dyDescent="0.35">
      <c r="I719" s="29"/>
    </row>
    <row r="720" spans="9:9" customFormat="1" x14ac:dyDescent="0.35">
      <c r="I720" s="29"/>
    </row>
    <row r="721" spans="9:9" customFormat="1" x14ac:dyDescent="0.35">
      <c r="I721" s="29"/>
    </row>
    <row r="722" spans="9:9" customFormat="1" x14ac:dyDescent="0.35">
      <c r="I722" s="29"/>
    </row>
    <row r="723" spans="9:9" customFormat="1" x14ac:dyDescent="0.35">
      <c r="I723" s="29"/>
    </row>
    <row r="724" spans="9:9" customFormat="1" x14ac:dyDescent="0.35">
      <c r="I724" s="29"/>
    </row>
    <row r="725" spans="9:9" customFormat="1" x14ac:dyDescent="0.35">
      <c r="I725" s="29"/>
    </row>
    <row r="726" spans="9:9" customFormat="1" x14ac:dyDescent="0.35">
      <c r="I726" s="29"/>
    </row>
    <row r="727" spans="9:9" customFormat="1" x14ac:dyDescent="0.35">
      <c r="I727" s="29"/>
    </row>
    <row r="728" spans="9:9" customFormat="1" x14ac:dyDescent="0.35">
      <c r="I728" s="29"/>
    </row>
    <row r="729" spans="9:9" customFormat="1" x14ac:dyDescent="0.35">
      <c r="I729" s="29"/>
    </row>
    <row r="730" spans="9:9" customFormat="1" x14ac:dyDescent="0.35">
      <c r="I730" s="29"/>
    </row>
    <row r="731" spans="9:9" customFormat="1" x14ac:dyDescent="0.35">
      <c r="I731" s="29"/>
    </row>
    <row r="732" spans="9:9" customFormat="1" x14ac:dyDescent="0.35">
      <c r="I732" s="29"/>
    </row>
    <row r="733" spans="9:9" customFormat="1" x14ac:dyDescent="0.35">
      <c r="I733" s="29"/>
    </row>
    <row r="734" spans="9:9" customFormat="1" x14ac:dyDescent="0.35">
      <c r="I734" s="29"/>
    </row>
    <row r="735" spans="9:9" customFormat="1" x14ac:dyDescent="0.35">
      <c r="I735" s="29"/>
    </row>
    <row r="736" spans="9:9" customFormat="1" x14ac:dyDescent="0.35">
      <c r="I736" s="29"/>
    </row>
    <row r="737" spans="9:9" customFormat="1" x14ac:dyDescent="0.35">
      <c r="I737" s="29"/>
    </row>
    <row r="738" spans="9:9" customFormat="1" x14ac:dyDescent="0.35">
      <c r="I738" s="29"/>
    </row>
    <row r="739" spans="9:9" customFormat="1" x14ac:dyDescent="0.35">
      <c r="I739" s="29"/>
    </row>
    <row r="740" spans="9:9" customFormat="1" x14ac:dyDescent="0.35">
      <c r="I740" s="29"/>
    </row>
    <row r="741" spans="9:9" customFormat="1" x14ac:dyDescent="0.35">
      <c r="I741" s="29"/>
    </row>
    <row r="742" spans="9:9" customFormat="1" x14ac:dyDescent="0.35">
      <c r="I742" s="29"/>
    </row>
    <row r="743" spans="9:9" customFormat="1" x14ac:dyDescent="0.35">
      <c r="I743" s="29"/>
    </row>
    <row r="744" spans="9:9" customFormat="1" x14ac:dyDescent="0.35">
      <c r="I744" s="29"/>
    </row>
    <row r="745" spans="9:9" customFormat="1" x14ac:dyDescent="0.35">
      <c r="I745" s="29"/>
    </row>
    <row r="746" spans="9:9" customFormat="1" x14ac:dyDescent="0.35">
      <c r="I746" s="29"/>
    </row>
    <row r="747" spans="9:9" customFormat="1" x14ac:dyDescent="0.35">
      <c r="I747" s="29"/>
    </row>
    <row r="748" spans="9:9" customFormat="1" x14ac:dyDescent="0.35">
      <c r="I748" s="29"/>
    </row>
    <row r="749" spans="9:9" customFormat="1" x14ac:dyDescent="0.35">
      <c r="I749" s="29"/>
    </row>
    <row r="750" spans="9:9" customFormat="1" x14ac:dyDescent="0.35">
      <c r="I750" s="29"/>
    </row>
    <row r="751" spans="9:9" customFormat="1" x14ac:dyDescent="0.35">
      <c r="I751" s="29"/>
    </row>
    <row r="752" spans="9:9" customFormat="1" x14ac:dyDescent="0.35">
      <c r="I752" s="29"/>
    </row>
    <row r="753" spans="9:9" customFormat="1" x14ac:dyDescent="0.35">
      <c r="I753" s="29"/>
    </row>
    <row r="754" spans="9:9" customFormat="1" x14ac:dyDescent="0.35">
      <c r="I754" s="29"/>
    </row>
    <row r="755" spans="9:9" customFormat="1" x14ac:dyDescent="0.35">
      <c r="I755" s="29"/>
    </row>
    <row r="756" spans="9:9" customFormat="1" x14ac:dyDescent="0.35">
      <c r="I756" s="29"/>
    </row>
    <row r="757" spans="9:9" customFormat="1" x14ac:dyDescent="0.35">
      <c r="I757" s="29"/>
    </row>
    <row r="758" spans="9:9" customFormat="1" x14ac:dyDescent="0.35">
      <c r="I758" s="29"/>
    </row>
    <row r="759" spans="9:9" customFormat="1" x14ac:dyDescent="0.35">
      <c r="I759" s="29"/>
    </row>
    <row r="760" spans="9:9" customFormat="1" x14ac:dyDescent="0.35">
      <c r="I760" s="29"/>
    </row>
    <row r="761" spans="9:9" customFormat="1" x14ac:dyDescent="0.35">
      <c r="I761" s="29"/>
    </row>
    <row r="762" spans="9:9" customFormat="1" x14ac:dyDescent="0.35">
      <c r="I762" s="29"/>
    </row>
    <row r="763" spans="9:9" customFormat="1" x14ac:dyDescent="0.35">
      <c r="I763" s="29"/>
    </row>
    <row r="764" spans="9:9" customFormat="1" x14ac:dyDescent="0.35">
      <c r="I764" s="29"/>
    </row>
    <row r="765" spans="9:9" customFormat="1" x14ac:dyDescent="0.35">
      <c r="I765" s="29"/>
    </row>
    <row r="766" spans="9:9" customFormat="1" x14ac:dyDescent="0.35">
      <c r="I766" s="29"/>
    </row>
    <row r="767" spans="9:9" customFormat="1" x14ac:dyDescent="0.35">
      <c r="I767" s="29"/>
    </row>
    <row r="768" spans="9:9" customFormat="1" x14ac:dyDescent="0.35">
      <c r="I768" s="29"/>
    </row>
    <row r="769" spans="9:9" customFormat="1" x14ac:dyDescent="0.35">
      <c r="I769" s="29"/>
    </row>
    <row r="770" spans="9:9" customFormat="1" x14ac:dyDescent="0.35">
      <c r="I770" s="29"/>
    </row>
    <row r="771" spans="9:9" customFormat="1" x14ac:dyDescent="0.35">
      <c r="I771" s="29"/>
    </row>
    <row r="772" spans="9:9" customFormat="1" x14ac:dyDescent="0.35">
      <c r="I772" s="29"/>
    </row>
    <row r="773" spans="9:9" customFormat="1" x14ac:dyDescent="0.35">
      <c r="I773" s="29"/>
    </row>
    <row r="774" spans="9:9" customFormat="1" x14ac:dyDescent="0.35">
      <c r="I774" s="29"/>
    </row>
    <row r="775" spans="9:9" customFormat="1" x14ac:dyDescent="0.35">
      <c r="I775" s="29"/>
    </row>
    <row r="776" spans="9:9" customFormat="1" x14ac:dyDescent="0.35">
      <c r="I776" s="29"/>
    </row>
    <row r="777" spans="9:9" customFormat="1" x14ac:dyDescent="0.35">
      <c r="I777" s="29"/>
    </row>
    <row r="778" spans="9:9" customFormat="1" x14ac:dyDescent="0.35">
      <c r="I778" s="29"/>
    </row>
    <row r="779" spans="9:9" customFormat="1" x14ac:dyDescent="0.35">
      <c r="I779" s="29"/>
    </row>
    <row r="780" spans="9:9" customFormat="1" x14ac:dyDescent="0.35">
      <c r="I780" s="29"/>
    </row>
    <row r="781" spans="9:9" customFormat="1" x14ac:dyDescent="0.35">
      <c r="I781" s="29"/>
    </row>
    <row r="782" spans="9:9" customFormat="1" x14ac:dyDescent="0.35">
      <c r="I782" s="29"/>
    </row>
    <row r="783" spans="9:9" customFormat="1" x14ac:dyDescent="0.35">
      <c r="I783" s="29"/>
    </row>
    <row r="784" spans="9:9" customFormat="1" x14ac:dyDescent="0.35">
      <c r="I784" s="29"/>
    </row>
    <row r="785" spans="9:9" customFormat="1" x14ac:dyDescent="0.35">
      <c r="I785" s="29"/>
    </row>
    <row r="786" spans="9:9" customFormat="1" x14ac:dyDescent="0.35">
      <c r="I786" s="29"/>
    </row>
    <row r="787" spans="9:9" customFormat="1" x14ac:dyDescent="0.35">
      <c r="I787" s="29"/>
    </row>
    <row r="788" spans="9:9" customFormat="1" x14ac:dyDescent="0.35">
      <c r="I788" s="29"/>
    </row>
    <row r="789" spans="9:9" customFormat="1" x14ac:dyDescent="0.35">
      <c r="I789" s="29"/>
    </row>
    <row r="790" spans="9:9" customFormat="1" x14ac:dyDescent="0.35">
      <c r="I790" s="29"/>
    </row>
    <row r="791" spans="9:9" customFormat="1" x14ac:dyDescent="0.35">
      <c r="I791" s="29"/>
    </row>
    <row r="792" spans="9:9" customFormat="1" x14ac:dyDescent="0.35">
      <c r="I792" s="29"/>
    </row>
    <row r="793" spans="9:9" customFormat="1" x14ac:dyDescent="0.35">
      <c r="I793" s="29"/>
    </row>
    <row r="794" spans="9:9" customFormat="1" x14ac:dyDescent="0.35">
      <c r="I794" s="29"/>
    </row>
    <row r="795" spans="9:9" customFormat="1" x14ac:dyDescent="0.35">
      <c r="I795" s="29"/>
    </row>
    <row r="796" spans="9:9" customFormat="1" x14ac:dyDescent="0.35">
      <c r="I796" s="29"/>
    </row>
    <row r="797" spans="9:9" customFormat="1" x14ac:dyDescent="0.35">
      <c r="I797" s="29"/>
    </row>
    <row r="798" spans="9:9" customFormat="1" x14ac:dyDescent="0.35">
      <c r="I798" s="29"/>
    </row>
    <row r="799" spans="9:9" customFormat="1" x14ac:dyDescent="0.35">
      <c r="I799" s="29"/>
    </row>
    <row r="800" spans="9:9" customFormat="1" x14ac:dyDescent="0.35">
      <c r="I800" s="29"/>
    </row>
    <row r="801" spans="9:9" customFormat="1" x14ac:dyDescent="0.35">
      <c r="I801" s="29"/>
    </row>
    <row r="802" spans="9:9" customFormat="1" x14ac:dyDescent="0.35">
      <c r="I802" s="29"/>
    </row>
    <row r="803" spans="9:9" customFormat="1" x14ac:dyDescent="0.35">
      <c r="I803" s="29"/>
    </row>
    <row r="804" spans="9:9" customFormat="1" x14ac:dyDescent="0.35">
      <c r="I804" s="29"/>
    </row>
    <row r="805" spans="9:9" customFormat="1" x14ac:dyDescent="0.35">
      <c r="I805" s="29"/>
    </row>
    <row r="806" spans="9:9" customFormat="1" x14ac:dyDescent="0.35">
      <c r="I806" s="29"/>
    </row>
    <row r="807" spans="9:9" customFormat="1" x14ac:dyDescent="0.35">
      <c r="I807" s="29"/>
    </row>
    <row r="808" spans="9:9" customFormat="1" x14ac:dyDescent="0.35">
      <c r="I808" s="29"/>
    </row>
    <row r="809" spans="9:9" customFormat="1" x14ac:dyDescent="0.35">
      <c r="I809" s="29"/>
    </row>
    <row r="810" spans="9:9" customFormat="1" x14ac:dyDescent="0.35">
      <c r="I810" s="29"/>
    </row>
    <row r="811" spans="9:9" customFormat="1" x14ac:dyDescent="0.35">
      <c r="I811" s="29"/>
    </row>
    <row r="812" spans="9:9" customFormat="1" x14ac:dyDescent="0.35">
      <c r="I812" s="29"/>
    </row>
    <row r="813" spans="9:9" customFormat="1" x14ac:dyDescent="0.35">
      <c r="I813" s="29"/>
    </row>
    <row r="814" spans="9:9" customFormat="1" x14ac:dyDescent="0.35">
      <c r="I814" s="29"/>
    </row>
    <row r="815" spans="9:9" customFormat="1" x14ac:dyDescent="0.35">
      <c r="I815" s="29"/>
    </row>
    <row r="816" spans="9:9" customFormat="1" x14ac:dyDescent="0.35">
      <c r="I816" s="29"/>
    </row>
    <row r="817" spans="9:9" customFormat="1" x14ac:dyDescent="0.35">
      <c r="I817" s="29"/>
    </row>
    <row r="818" spans="9:9" customFormat="1" x14ac:dyDescent="0.35">
      <c r="I818" s="29"/>
    </row>
    <row r="819" spans="9:9" customFormat="1" x14ac:dyDescent="0.35">
      <c r="I819" s="29"/>
    </row>
    <row r="820" spans="9:9" customFormat="1" x14ac:dyDescent="0.35">
      <c r="I820" s="29"/>
    </row>
    <row r="821" spans="9:9" customFormat="1" x14ac:dyDescent="0.35">
      <c r="I821" s="29"/>
    </row>
    <row r="822" spans="9:9" customFormat="1" x14ac:dyDescent="0.35">
      <c r="I822" s="29"/>
    </row>
    <row r="823" spans="9:9" customFormat="1" x14ac:dyDescent="0.35">
      <c r="I823" s="29"/>
    </row>
    <row r="824" spans="9:9" customFormat="1" x14ac:dyDescent="0.35">
      <c r="I824" s="29"/>
    </row>
    <row r="825" spans="9:9" customFormat="1" x14ac:dyDescent="0.35">
      <c r="I825" s="29"/>
    </row>
    <row r="826" spans="9:9" customFormat="1" x14ac:dyDescent="0.35">
      <c r="I826" s="29"/>
    </row>
    <row r="827" spans="9:9" customFormat="1" x14ac:dyDescent="0.35">
      <c r="I827" s="29"/>
    </row>
    <row r="828" spans="9:9" customFormat="1" x14ac:dyDescent="0.35">
      <c r="I828" s="29"/>
    </row>
    <row r="829" spans="9:9" customFormat="1" x14ac:dyDescent="0.35">
      <c r="I829" s="29"/>
    </row>
    <row r="830" spans="9:9" customFormat="1" x14ac:dyDescent="0.35">
      <c r="I830" s="29"/>
    </row>
    <row r="831" spans="9:9" customFormat="1" x14ac:dyDescent="0.35">
      <c r="I831" s="29"/>
    </row>
    <row r="832" spans="9:9" customFormat="1" x14ac:dyDescent="0.35">
      <c r="I832" s="29"/>
    </row>
    <row r="833" spans="9:9" customFormat="1" x14ac:dyDescent="0.35">
      <c r="I833" s="29"/>
    </row>
    <row r="834" spans="9:9" customFormat="1" x14ac:dyDescent="0.35">
      <c r="I834" s="29"/>
    </row>
    <row r="835" spans="9:9" customFormat="1" x14ac:dyDescent="0.35">
      <c r="I835" s="29"/>
    </row>
    <row r="836" spans="9:9" customFormat="1" x14ac:dyDescent="0.35">
      <c r="I836" s="29"/>
    </row>
    <row r="837" spans="9:9" customFormat="1" x14ac:dyDescent="0.35">
      <c r="I837" s="29"/>
    </row>
    <row r="838" spans="9:9" customFormat="1" x14ac:dyDescent="0.35">
      <c r="I838" s="29"/>
    </row>
    <row r="839" spans="9:9" customFormat="1" x14ac:dyDescent="0.35">
      <c r="I839" s="29"/>
    </row>
    <row r="840" spans="9:9" customFormat="1" x14ac:dyDescent="0.35">
      <c r="I840" s="29"/>
    </row>
    <row r="841" spans="9:9" customFormat="1" x14ac:dyDescent="0.35">
      <c r="I841" s="29"/>
    </row>
    <row r="842" spans="9:9" customFormat="1" x14ac:dyDescent="0.35">
      <c r="I842" s="29"/>
    </row>
    <row r="843" spans="9:9" customFormat="1" x14ac:dyDescent="0.35">
      <c r="I843" s="29"/>
    </row>
    <row r="844" spans="9:9" customFormat="1" x14ac:dyDescent="0.35">
      <c r="I844" s="29"/>
    </row>
    <row r="845" spans="9:9" customFormat="1" x14ac:dyDescent="0.35">
      <c r="I845" s="29"/>
    </row>
    <row r="846" spans="9:9" customFormat="1" x14ac:dyDescent="0.35">
      <c r="I846" s="29"/>
    </row>
    <row r="847" spans="9:9" customFormat="1" x14ac:dyDescent="0.35">
      <c r="I847" s="29"/>
    </row>
    <row r="848" spans="9:9" customFormat="1" x14ac:dyDescent="0.35">
      <c r="I848" s="29"/>
    </row>
    <row r="849" spans="9:9" customFormat="1" x14ac:dyDescent="0.35">
      <c r="I849" s="29"/>
    </row>
    <row r="850" spans="9:9" customFormat="1" x14ac:dyDescent="0.35">
      <c r="I850" s="29"/>
    </row>
    <row r="851" spans="9:9" customFormat="1" x14ac:dyDescent="0.35">
      <c r="I851" s="29"/>
    </row>
    <row r="852" spans="9:9" customFormat="1" x14ac:dyDescent="0.35">
      <c r="I852" s="29"/>
    </row>
    <row r="853" spans="9:9" customFormat="1" x14ac:dyDescent="0.35">
      <c r="I853" s="29"/>
    </row>
    <row r="854" spans="9:9" customFormat="1" x14ac:dyDescent="0.35">
      <c r="I854" s="29"/>
    </row>
    <row r="855" spans="9:9" customFormat="1" x14ac:dyDescent="0.35">
      <c r="I855" s="29"/>
    </row>
    <row r="856" spans="9:9" customFormat="1" x14ac:dyDescent="0.35">
      <c r="I856" s="29"/>
    </row>
    <row r="857" spans="9:9" customFormat="1" x14ac:dyDescent="0.35">
      <c r="I857" s="29"/>
    </row>
    <row r="858" spans="9:9" customFormat="1" x14ac:dyDescent="0.35">
      <c r="I858" s="29"/>
    </row>
    <row r="859" spans="9:9" customFormat="1" x14ac:dyDescent="0.35">
      <c r="I859" s="29"/>
    </row>
    <row r="860" spans="9:9" customFormat="1" x14ac:dyDescent="0.35">
      <c r="I860" s="29"/>
    </row>
    <row r="861" spans="9:9" customFormat="1" x14ac:dyDescent="0.35">
      <c r="I861" s="29"/>
    </row>
    <row r="862" spans="9:9" customFormat="1" x14ac:dyDescent="0.35">
      <c r="I862" s="29"/>
    </row>
    <row r="863" spans="9:9" customFormat="1" x14ac:dyDescent="0.35">
      <c r="I863" s="29"/>
    </row>
    <row r="864" spans="9:9" customFormat="1" x14ac:dyDescent="0.35">
      <c r="I864" s="29"/>
    </row>
    <row r="865" spans="9:9" customFormat="1" x14ac:dyDescent="0.35">
      <c r="I865" s="29"/>
    </row>
    <row r="866" spans="9:9" customFormat="1" x14ac:dyDescent="0.35">
      <c r="I866" s="29"/>
    </row>
    <row r="867" spans="9:9" customFormat="1" x14ac:dyDescent="0.35">
      <c r="I867" s="29"/>
    </row>
    <row r="868" spans="9:9" customFormat="1" x14ac:dyDescent="0.35">
      <c r="I868" s="29"/>
    </row>
    <row r="869" spans="9:9" customFormat="1" x14ac:dyDescent="0.35">
      <c r="I869" s="29"/>
    </row>
    <row r="870" spans="9:9" customFormat="1" x14ac:dyDescent="0.35">
      <c r="I870" s="29"/>
    </row>
    <row r="871" spans="9:9" customFormat="1" x14ac:dyDescent="0.35">
      <c r="I871" s="29"/>
    </row>
    <row r="872" spans="9:9" customFormat="1" x14ac:dyDescent="0.35">
      <c r="I872" s="29"/>
    </row>
    <row r="873" spans="9:9" customFormat="1" x14ac:dyDescent="0.35">
      <c r="I873" s="29"/>
    </row>
    <row r="874" spans="9:9" customFormat="1" x14ac:dyDescent="0.35">
      <c r="I874" s="29"/>
    </row>
    <row r="875" spans="9:9" customFormat="1" x14ac:dyDescent="0.35">
      <c r="I875" s="29"/>
    </row>
    <row r="876" spans="9:9" customFormat="1" x14ac:dyDescent="0.35">
      <c r="I876" s="29"/>
    </row>
    <row r="877" spans="9:9" customFormat="1" x14ac:dyDescent="0.35">
      <c r="I877" s="29"/>
    </row>
    <row r="878" spans="9:9" customFormat="1" x14ac:dyDescent="0.35">
      <c r="I878" s="29"/>
    </row>
    <row r="879" spans="9:9" customFormat="1" x14ac:dyDescent="0.35">
      <c r="I879" s="29"/>
    </row>
    <row r="880" spans="9:9" customFormat="1" x14ac:dyDescent="0.35">
      <c r="I880" s="29"/>
    </row>
    <row r="881" spans="9:9" customFormat="1" x14ac:dyDescent="0.35">
      <c r="I881" s="29"/>
    </row>
    <row r="882" spans="9:9" customFormat="1" x14ac:dyDescent="0.35">
      <c r="I882" s="29"/>
    </row>
    <row r="883" spans="9:9" customFormat="1" x14ac:dyDescent="0.35">
      <c r="I883" s="29"/>
    </row>
    <row r="884" spans="9:9" customFormat="1" x14ac:dyDescent="0.35">
      <c r="I884" s="29"/>
    </row>
    <row r="885" spans="9:9" customFormat="1" x14ac:dyDescent="0.35">
      <c r="I885" s="29"/>
    </row>
    <row r="886" spans="9:9" customFormat="1" x14ac:dyDescent="0.35">
      <c r="I886" s="29"/>
    </row>
    <row r="887" spans="9:9" customFormat="1" x14ac:dyDescent="0.35">
      <c r="I887" s="29"/>
    </row>
    <row r="888" spans="9:9" customFormat="1" x14ac:dyDescent="0.35">
      <c r="I888" s="29"/>
    </row>
    <row r="889" spans="9:9" customFormat="1" x14ac:dyDescent="0.35">
      <c r="I889" s="29"/>
    </row>
    <row r="890" spans="9:9" customFormat="1" x14ac:dyDescent="0.35">
      <c r="I890" s="29"/>
    </row>
    <row r="891" spans="9:9" customFormat="1" x14ac:dyDescent="0.35">
      <c r="I891" s="29"/>
    </row>
    <row r="892" spans="9:9" customFormat="1" x14ac:dyDescent="0.35">
      <c r="I892" s="29"/>
    </row>
    <row r="893" spans="9:9" customFormat="1" x14ac:dyDescent="0.35">
      <c r="I893" s="29"/>
    </row>
    <row r="894" spans="9:9" customFormat="1" x14ac:dyDescent="0.35">
      <c r="I894" s="29"/>
    </row>
    <row r="895" spans="9:9" customFormat="1" x14ac:dyDescent="0.35">
      <c r="I895" s="29"/>
    </row>
    <row r="896" spans="9:9" customFormat="1" x14ac:dyDescent="0.35">
      <c r="I896" s="29"/>
    </row>
    <row r="897" spans="9:9" customFormat="1" x14ac:dyDescent="0.35">
      <c r="I897" s="29"/>
    </row>
    <row r="898" spans="9:9" customFormat="1" x14ac:dyDescent="0.35">
      <c r="I898" s="29"/>
    </row>
    <row r="899" spans="9:9" customFormat="1" x14ac:dyDescent="0.35">
      <c r="I899" s="29"/>
    </row>
    <row r="900" spans="9:9" customFormat="1" x14ac:dyDescent="0.35">
      <c r="I900" s="29"/>
    </row>
    <row r="901" spans="9:9" customFormat="1" x14ac:dyDescent="0.35">
      <c r="I901" s="29"/>
    </row>
    <row r="902" spans="9:9" customFormat="1" x14ac:dyDescent="0.35">
      <c r="I902" s="29"/>
    </row>
    <row r="903" spans="9:9" customFormat="1" x14ac:dyDescent="0.35">
      <c r="I903" s="29"/>
    </row>
    <row r="904" spans="9:9" customFormat="1" x14ac:dyDescent="0.35">
      <c r="I904" s="29"/>
    </row>
    <row r="905" spans="9:9" customFormat="1" x14ac:dyDescent="0.35">
      <c r="I905" s="29"/>
    </row>
    <row r="906" spans="9:9" customFormat="1" x14ac:dyDescent="0.35">
      <c r="I906" s="29"/>
    </row>
    <row r="907" spans="9:9" customFormat="1" x14ac:dyDescent="0.35">
      <c r="I907" s="29"/>
    </row>
    <row r="908" spans="9:9" customFormat="1" x14ac:dyDescent="0.35">
      <c r="I908" s="29"/>
    </row>
    <row r="909" spans="9:9" customFormat="1" x14ac:dyDescent="0.35">
      <c r="I909" s="29"/>
    </row>
    <row r="910" spans="9:9" customFormat="1" x14ac:dyDescent="0.35">
      <c r="I910" s="29"/>
    </row>
    <row r="911" spans="9:9" customFormat="1" x14ac:dyDescent="0.35">
      <c r="I911" s="29"/>
    </row>
    <row r="912" spans="9:9" customFormat="1" x14ac:dyDescent="0.35">
      <c r="I912" s="29"/>
    </row>
    <row r="913" spans="9:9" customFormat="1" x14ac:dyDescent="0.35">
      <c r="I913" s="29"/>
    </row>
    <row r="914" spans="9:9" customFormat="1" x14ac:dyDescent="0.35">
      <c r="I914" s="29"/>
    </row>
    <row r="915" spans="9:9" customFormat="1" x14ac:dyDescent="0.35">
      <c r="I915" s="29"/>
    </row>
    <row r="916" spans="9:9" customFormat="1" x14ac:dyDescent="0.35">
      <c r="I916" s="29"/>
    </row>
    <row r="917" spans="9:9" customFormat="1" x14ac:dyDescent="0.35">
      <c r="I917" s="29"/>
    </row>
    <row r="918" spans="9:9" customFormat="1" x14ac:dyDescent="0.35">
      <c r="I918" s="29"/>
    </row>
    <row r="919" spans="9:9" customFormat="1" x14ac:dyDescent="0.35">
      <c r="I919" s="29"/>
    </row>
    <row r="920" spans="9:9" customFormat="1" x14ac:dyDescent="0.35">
      <c r="I920" s="29"/>
    </row>
    <row r="921" spans="9:9" customFormat="1" x14ac:dyDescent="0.35">
      <c r="I921" s="29"/>
    </row>
    <row r="922" spans="9:9" customFormat="1" x14ac:dyDescent="0.35">
      <c r="I922" s="29"/>
    </row>
    <row r="923" spans="9:9" customFormat="1" x14ac:dyDescent="0.35">
      <c r="I923" s="29"/>
    </row>
    <row r="924" spans="9:9" customFormat="1" x14ac:dyDescent="0.35">
      <c r="I924" s="29"/>
    </row>
    <row r="925" spans="9:9" customFormat="1" x14ac:dyDescent="0.35">
      <c r="I925" s="29"/>
    </row>
    <row r="926" spans="9:9" customFormat="1" x14ac:dyDescent="0.35">
      <c r="I926" s="29"/>
    </row>
    <row r="927" spans="9:9" customFormat="1" x14ac:dyDescent="0.35">
      <c r="I927" s="29"/>
    </row>
    <row r="928" spans="9:9" customFormat="1" x14ac:dyDescent="0.35">
      <c r="I928" s="29"/>
    </row>
    <row r="929" spans="9:9" customFormat="1" x14ac:dyDescent="0.35">
      <c r="I929" s="29"/>
    </row>
    <row r="930" spans="9:9" customFormat="1" x14ac:dyDescent="0.35">
      <c r="I930" s="29"/>
    </row>
    <row r="931" spans="9:9" customFormat="1" x14ac:dyDescent="0.35">
      <c r="I931" s="29"/>
    </row>
    <row r="932" spans="9:9" customFormat="1" x14ac:dyDescent="0.35">
      <c r="I932" s="29"/>
    </row>
    <row r="933" spans="9:9" customFormat="1" x14ac:dyDescent="0.35">
      <c r="I933" s="29"/>
    </row>
    <row r="934" spans="9:9" customFormat="1" x14ac:dyDescent="0.35">
      <c r="I934" s="29"/>
    </row>
    <row r="935" spans="9:9" customFormat="1" x14ac:dyDescent="0.35">
      <c r="I935" s="29"/>
    </row>
    <row r="936" spans="9:9" customFormat="1" x14ac:dyDescent="0.35">
      <c r="I936" s="29"/>
    </row>
    <row r="937" spans="9:9" customFormat="1" x14ac:dyDescent="0.35">
      <c r="I937" s="29"/>
    </row>
    <row r="938" spans="9:9" customFormat="1" x14ac:dyDescent="0.35">
      <c r="I938" s="29"/>
    </row>
    <row r="939" spans="9:9" customFormat="1" x14ac:dyDescent="0.35">
      <c r="I939" s="29"/>
    </row>
    <row r="940" spans="9:9" customFormat="1" x14ac:dyDescent="0.35">
      <c r="I940" s="29"/>
    </row>
    <row r="941" spans="9:9" customFormat="1" x14ac:dyDescent="0.35">
      <c r="I941" s="29"/>
    </row>
    <row r="942" spans="9:9" customFormat="1" x14ac:dyDescent="0.35">
      <c r="I942" s="29"/>
    </row>
    <row r="943" spans="9:9" customFormat="1" x14ac:dyDescent="0.35">
      <c r="I943" s="29"/>
    </row>
    <row r="944" spans="9:9" customFormat="1" x14ac:dyDescent="0.35">
      <c r="I944" s="29"/>
    </row>
    <row r="945" spans="9:9" customFormat="1" x14ac:dyDescent="0.35">
      <c r="I945" s="29"/>
    </row>
    <row r="946" spans="9:9" customFormat="1" x14ac:dyDescent="0.35">
      <c r="I946" s="29"/>
    </row>
    <row r="947" spans="9:9" customFormat="1" x14ac:dyDescent="0.35">
      <c r="I947" s="29"/>
    </row>
    <row r="948" spans="9:9" customFormat="1" x14ac:dyDescent="0.35">
      <c r="I948" s="29"/>
    </row>
    <row r="949" spans="9:9" customFormat="1" x14ac:dyDescent="0.35">
      <c r="I949" s="29"/>
    </row>
    <row r="950" spans="9:9" customFormat="1" x14ac:dyDescent="0.35">
      <c r="I950" s="29"/>
    </row>
    <row r="951" spans="9:9" customFormat="1" x14ac:dyDescent="0.35">
      <c r="I951" s="29"/>
    </row>
    <row r="952" spans="9:9" customFormat="1" x14ac:dyDescent="0.35">
      <c r="I952" s="29"/>
    </row>
    <row r="953" spans="9:9" customFormat="1" x14ac:dyDescent="0.35">
      <c r="I953" s="29"/>
    </row>
    <row r="954" spans="9:9" customFormat="1" x14ac:dyDescent="0.35">
      <c r="I954" s="29"/>
    </row>
    <row r="955" spans="9:9" customFormat="1" x14ac:dyDescent="0.35">
      <c r="I955" s="29"/>
    </row>
    <row r="956" spans="9:9" customFormat="1" x14ac:dyDescent="0.35">
      <c r="I956" s="29"/>
    </row>
    <row r="957" spans="9:9" customFormat="1" x14ac:dyDescent="0.35">
      <c r="I957" s="29"/>
    </row>
    <row r="958" spans="9:9" customFormat="1" x14ac:dyDescent="0.35">
      <c r="I958" s="29"/>
    </row>
    <row r="959" spans="9:9" customFormat="1" x14ac:dyDescent="0.35">
      <c r="I959" s="29"/>
    </row>
    <row r="960" spans="9:9" customFormat="1" x14ac:dyDescent="0.35">
      <c r="I960" s="29"/>
    </row>
    <row r="961" spans="9:9" customFormat="1" x14ac:dyDescent="0.35">
      <c r="I961" s="29"/>
    </row>
    <row r="962" spans="9:9" customFormat="1" x14ac:dyDescent="0.35">
      <c r="I962" s="29"/>
    </row>
    <row r="963" spans="9:9" customFormat="1" x14ac:dyDescent="0.35">
      <c r="I963" s="29"/>
    </row>
    <row r="964" spans="9:9" customFormat="1" x14ac:dyDescent="0.35">
      <c r="I964" s="29"/>
    </row>
    <row r="965" spans="9:9" customFormat="1" x14ac:dyDescent="0.35">
      <c r="I965" s="29"/>
    </row>
    <row r="966" spans="9:9" customFormat="1" x14ac:dyDescent="0.35">
      <c r="I966" s="29"/>
    </row>
    <row r="967" spans="9:9" customFormat="1" x14ac:dyDescent="0.35">
      <c r="I967" s="29"/>
    </row>
    <row r="968" spans="9:9" customFormat="1" x14ac:dyDescent="0.35">
      <c r="I968" s="29"/>
    </row>
    <row r="969" spans="9:9" customFormat="1" x14ac:dyDescent="0.35">
      <c r="I969" s="29"/>
    </row>
    <row r="970" spans="9:9" customFormat="1" x14ac:dyDescent="0.35">
      <c r="I970" s="29"/>
    </row>
    <row r="971" spans="9:9" customFormat="1" x14ac:dyDescent="0.35">
      <c r="I971" s="29"/>
    </row>
    <row r="972" spans="9:9" customFormat="1" x14ac:dyDescent="0.35">
      <c r="I972" s="29"/>
    </row>
    <row r="973" spans="9:9" customFormat="1" x14ac:dyDescent="0.35">
      <c r="I973" s="29"/>
    </row>
    <row r="974" spans="9:9" customFormat="1" x14ac:dyDescent="0.35">
      <c r="I974" s="29"/>
    </row>
    <row r="975" spans="9:9" customFormat="1" x14ac:dyDescent="0.35">
      <c r="I975" s="29"/>
    </row>
    <row r="976" spans="9:9" customFormat="1" x14ac:dyDescent="0.35">
      <c r="I976" s="29"/>
    </row>
    <row r="977" spans="9:9" customFormat="1" x14ac:dyDescent="0.35">
      <c r="I977" s="29"/>
    </row>
    <row r="978" spans="9:9" customFormat="1" x14ac:dyDescent="0.35">
      <c r="I978" s="29"/>
    </row>
    <row r="979" spans="9:9" customFormat="1" x14ac:dyDescent="0.35">
      <c r="I979" s="29"/>
    </row>
    <row r="980" spans="9:9" customFormat="1" x14ac:dyDescent="0.35">
      <c r="I980" s="29"/>
    </row>
    <row r="981" spans="9:9" customFormat="1" x14ac:dyDescent="0.35">
      <c r="I981" s="29"/>
    </row>
    <row r="982" spans="9:9" customFormat="1" x14ac:dyDescent="0.35">
      <c r="I982" s="29"/>
    </row>
    <row r="983" spans="9:9" customFormat="1" x14ac:dyDescent="0.35">
      <c r="I983" s="29"/>
    </row>
    <row r="984" spans="9:9" customFormat="1" x14ac:dyDescent="0.35">
      <c r="I984" s="29"/>
    </row>
    <row r="985" spans="9:9" customFormat="1" x14ac:dyDescent="0.35">
      <c r="I985" s="29"/>
    </row>
    <row r="986" spans="9:9" customFormat="1" x14ac:dyDescent="0.35">
      <c r="I986" s="29"/>
    </row>
    <row r="987" spans="9:9" customFormat="1" x14ac:dyDescent="0.35">
      <c r="I987" s="29"/>
    </row>
    <row r="988" spans="9:9" customFormat="1" x14ac:dyDescent="0.35">
      <c r="I988" s="29"/>
    </row>
    <row r="989" spans="9:9" customFormat="1" x14ac:dyDescent="0.35">
      <c r="I989" s="29"/>
    </row>
    <row r="990" spans="9:9" customFormat="1" x14ac:dyDescent="0.35">
      <c r="I990" s="29"/>
    </row>
    <row r="991" spans="9:9" customFormat="1" x14ac:dyDescent="0.35">
      <c r="I991" s="29"/>
    </row>
    <row r="992" spans="9:9" customFormat="1" x14ac:dyDescent="0.35">
      <c r="I992" s="29"/>
    </row>
    <row r="993" spans="9:9" customFormat="1" x14ac:dyDescent="0.35">
      <c r="I993" s="29"/>
    </row>
    <row r="994" spans="9:9" customFormat="1" x14ac:dyDescent="0.35">
      <c r="I994" s="29"/>
    </row>
    <row r="995" spans="9:9" customFormat="1" x14ac:dyDescent="0.35">
      <c r="I995" s="29"/>
    </row>
    <row r="996" spans="9:9" customFormat="1" x14ac:dyDescent="0.35">
      <c r="I996" s="29"/>
    </row>
    <row r="997" spans="9:9" customFormat="1" x14ac:dyDescent="0.35">
      <c r="I997" s="29"/>
    </row>
    <row r="998" spans="9:9" customFormat="1" x14ac:dyDescent="0.35">
      <c r="I998" s="29"/>
    </row>
    <row r="999" spans="9:9" customFormat="1" x14ac:dyDescent="0.35">
      <c r="I999" s="29"/>
    </row>
    <row r="1000" spans="9:9" customFormat="1" x14ac:dyDescent="0.35">
      <c r="I1000" s="29"/>
    </row>
    <row r="1001" spans="9:9" customFormat="1" x14ac:dyDescent="0.35">
      <c r="I1001" s="29"/>
    </row>
    <row r="1002" spans="9:9" customFormat="1" x14ac:dyDescent="0.35">
      <c r="I1002" s="29"/>
    </row>
    <row r="1003" spans="9:9" customFormat="1" x14ac:dyDescent="0.35">
      <c r="I1003" s="29"/>
    </row>
    <row r="1004" spans="9:9" customFormat="1" x14ac:dyDescent="0.35">
      <c r="I1004" s="29"/>
    </row>
    <row r="1005" spans="9:9" customFormat="1" x14ac:dyDescent="0.35">
      <c r="I1005" s="29"/>
    </row>
    <row r="1006" spans="9:9" customFormat="1" x14ac:dyDescent="0.35">
      <c r="I1006" s="29"/>
    </row>
    <row r="1007" spans="9:9" customFormat="1" x14ac:dyDescent="0.35">
      <c r="I1007" s="29"/>
    </row>
    <row r="1008" spans="9:9" customFormat="1" x14ac:dyDescent="0.35">
      <c r="I1008" s="29"/>
    </row>
    <row r="1009" spans="9:9" customFormat="1" x14ac:dyDescent="0.35">
      <c r="I1009" s="29"/>
    </row>
    <row r="1010" spans="9:9" customFormat="1" x14ac:dyDescent="0.35">
      <c r="I1010" s="29"/>
    </row>
    <row r="1011" spans="9:9" customFormat="1" x14ac:dyDescent="0.35">
      <c r="I1011" s="29"/>
    </row>
    <row r="1012" spans="9:9" customFormat="1" x14ac:dyDescent="0.35">
      <c r="I1012" s="29"/>
    </row>
    <row r="1013" spans="9:9" customFormat="1" x14ac:dyDescent="0.35">
      <c r="I1013" s="29"/>
    </row>
    <row r="1014" spans="9:9" customFormat="1" x14ac:dyDescent="0.35">
      <c r="I1014" s="29"/>
    </row>
    <row r="1015" spans="9:9" customFormat="1" x14ac:dyDescent="0.35">
      <c r="I1015" s="29"/>
    </row>
    <row r="1016" spans="9:9" customFormat="1" x14ac:dyDescent="0.35">
      <c r="I1016" s="29"/>
    </row>
    <row r="1017" spans="9:9" customFormat="1" x14ac:dyDescent="0.35">
      <c r="I1017" s="29"/>
    </row>
    <row r="1018" spans="9:9" customFormat="1" x14ac:dyDescent="0.35">
      <c r="I1018" s="29"/>
    </row>
    <row r="1019" spans="9:9" customFormat="1" x14ac:dyDescent="0.35">
      <c r="I1019" s="29"/>
    </row>
    <row r="1020" spans="9:9" customFormat="1" x14ac:dyDescent="0.35">
      <c r="I1020" s="29"/>
    </row>
    <row r="1021" spans="9:9" customFormat="1" x14ac:dyDescent="0.35">
      <c r="I1021" s="29"/>
    </row>
    <row r="1022" spans="9:9" customFormat="1" x14ac:dyDescent="0.35">
      <c r="I1022" s="29"/>
    </row>
    <row r="1023" spans="9:9" customFormat="1" x14ac:dyDescent="0.35">
      <c r="I1023" s="29"/>
    </row>
    <row r="1024" spans="9:9" customFormat="1" x14ac:dyDescent="0.35">
      <c r="I1024" s="29"/>
    </row>
    <row r="1025" spans="9:9" customFormat="1" x14ac:dyDescent="0.35">
      <c r="I1025" s="29"/>
    </row>
    <row r="1026" spans="9:9" customFormat="1" x14ac:dyDescent="0.35">
      <c r="I1026" s="29"/>
    </row>
    <row r="1027" spans="9:9" customFormat="1" x14ac:dyDescent="0.35">
      <c r="I1027" s="29"/>
    </row>
    <row r="1028" spans="9:9" customFormat="1" x14ac:dyDescent="0.35">
      <c r="I1028" s="29"/>
    </row>
    <row r="1029" spans="9:9" customFormat="1" x14ac:dyDescent="0.35">
      <c r="I1029" s="29"/>
    </row>
    <row r="1030" spans="9:9" customFormat="1" x14ac:dyDescent="0.35">
      <c r="I1030" s="29"/>
    </row>
    <row r="1031" spans="9:9" customFormat="1" x14ac:dyDescent="0.35">
      <c r="I1031" s="29"/>
    </row>
    <row r="1032" spans="9:9" customFormat="1" x14ac:dyDescent="0.35">
      <c r="I1032" s="29"/>
    </row>
    <row r="1033" spans="9:9" customFormat="1" x14ac:dyDescent="0.35">
      <c r="I1033" s="29"/>
    </row>
    <row r="1034" spans="9:9" customFormat="1" x14ac:dyDescent="0.35">
      <c r="I1034" s="29"/>
    </row>
    <row r="1035" spans="9:9" customFormat="1" x14ac:dyDescent="0.35">
      <c r="I1035" s="29"/>
    </row>
    <row r="1036" spans="9:9" customFormat="1" x14ac:dyDescent="0.35">
      <c r="I1036" s="29"/>
    </row>
    <row r="1037" spans="9:9" customFormat="1" x14ac:dyDescent="0.35">
      <c r="I1037" s="29"/>
    </row>
    <row r="1038" spans="9:9" customFormat="1" x14ac:dyDescent="0.35">
      <c r="I1038" s="29"/>
    </row>
    <row r="1039" spans="9:9" customFormat="1" x14ac:dyDescent="0.35">
      <c r="I1039" s="29"/>
    </row>
    <row r="1040" spans="9:9" customFormat="1" x14ac:dyDescent="0.35">
      <c r="I1040" s="29"/>
    </row>
    <row r="1041" spans="9:9" customFormat="1" x14ac:dyDescent="0.35">
      <c r="I1041" s="29"/>
    </row>
    <row r="1042" spans="9:9" customFormat="1" x14ac:dyDescent="0.35">
      <c r="I1042" s="29"/>
    </row>
    <row r="1043" spans="9:9" customFormat="1" x14ac:dyDescent="0.35">
      <c r="I1043" s="29"/>
    </row>
    <row r="1044" spans="9:9" customFormat="1" x14ac:dyDescent="0.35">
      <c r="I1044" s="29"/>
    </row>
    <row r="1045" spans="9:9" customFormat="1" x14ac:dyDescent="0.35">
      <c r="I1045" s="29"/>
    </row>
    <row r="1046" spans="9:9" customFormat="1" x14ac:dyDescent="0.35">
      <c r="I1046" s="29"/>
    </row>
    <row r="1047" spans="9:9" customFormat="1" x14ac:dyDescent="0.35">
      <c r="I1047" s="29"/>
    </row>
    <row r="1048" spans="9:9" customFormat="1" x14ac:dyDescent="0.35">
      <c r="I1048" s="29"/>
    </row>
    <row r="1049" spans="9:9" customFormat="1" x14ac:dyDescent="0.35">
      <c r="I1049" s="29"/>
    </row>
    <row r="1050" spans="9:9" customFormat="1" x14ac:dyDescent="0.35">
      <c r="I1050" s="29"/>
    </row>
    <row r="1051" spans="9:9" customFormat="1" x14ac:dyDescent="0.35">
      <c r="I1051" s="29"/>
    </row>
    <row r="1052" spans="9:9" customFormat="1" x14ac:dyDescent="0.35">
      <c r="I1052" s="29"/>
    </row>
    <row r="1053" spans="9:9" customFormat="1" x14ac:dyDescent="0.35">
      <c r="I1053" s="29"/>
    </row>
    <row r="1054" spans="9:9" customFormat="1" x14ac:dyDescent="0.35">
      <c r="I1054" s="29"/>
    </row>
    <row r="1055" spans="9:9" customFormat="1" x14ac:dyDescent="0.35">
      <c r="I1055" s="29"/>
    </row>
    <row r="1056" spans="9:9" customFormat="1" x14ac:dyDescent="0.35">
      <c r="I1056" s="29"/>
    </row>
    <row r="1057" spans="9:9" customFormat="1" x14ac:dyDescent="0.35">
      <c r="I1057" s="29"/>
    </row>
    <row r="1058" spans="9:9" customFormat="1" x14ac:dyDescent="0.35">
      <c r="I1058" s="29"/>
    </row>
    <row r="1059" spans="9:9" customFormat="1" x14ac:dyDescent="0.35">
      <c r="I1059" s="29"/>
    </row>
    <row r="1060" spans="9:9" customFormat="1" x14ac:dyDescent="0.35">
      <c r="I1060" s="29"/>
    </row>
    <row r="1061" spans="9:9" customFormat="1" x14ac:dyDescent="0.35">
      <c r="I1061" s="29"/>
    </row>
    <row r="1062" spans="9:9" customFormat="1" x14ac:dyDescent="0.35">
      <c r="I1062" s="29"/>
    </row>
    <row r="1063" spans="9:9" customFormat="1" x14ac:dyDescent="0.35">
      <c r="I1063" s="29"/>
    </row>
    <row r="1064" spans="9:9" customFormat="1" x14ac:dyDescent="0.35">
      <c r="I1064" s="29"/>
    </row>
    <row r="1065" spans="9:9" customFormat="1" x14ac:dyDescent="0.35">
      <c r="I1065" s="29"/>
    </row>
    <row r="1066" spans="9:9" customFormat="1" x14ac:dyDescent="0.35">
      <c r="I1066" s="29"/>
    </row>
    <row r="1067" spans="9:9" customFormat="1" x14ac:dyDescent="0.35">
      <c r="I1067" s="29"/>
    </row>
    <row r="1068" spans="9:9" customFormat="1" x14ac:dyDescent="0.35">
      <c r="I1068" s="29"/>
    </row>
    <row r="1069" spans="9:9" customFormat="1" x14ac:dyDescent="0.35">
      <c r="I1069" s="29"/>
    </row>
    <row r="1070" spans="9:9" customFormat="1" x14ac:dyDescent="0.35">
      <c r="I1070" s="29"/>
    </row>
    <row r="1071" spans="9:9" customFormat="1" x14ac:dyDescent="0.35">
      <c r="I1071" s="29"/>
    </row>
    <row r="1072" spans="9:9" customFormat="1" x14ac:dyDescent="0.35">
      <c r="I1072" s="29"/>
    </row>
    <row r="1073" spans="9:9" customFormat="1" x14ac:dyDescent="0.35">
      <c r="I1073" s="29"/>
    </row>
    <row r="1074" spans="9:9" customFormat="1" x14ac:dyDescent="0.35">
      <c r="I1074" s="29"/>
    </row>
    <row r="1075" spans="9:9" customFormat="1" x14ac:dyDescent="0.35">
      <c r="I1075" s="29"/>
    </row>
    <row r="1076" spans="9:9" customFormat="1" x14ac:dyDescent="0.35">
      <c r="I1076" s="29"/>
    </row>
    <row r="1077" spans="9:9" customFormat="1" x14ac:dyDescent="0.35">
      <c r="I1077" s="29"/>
    </row>
    <row r="1078" spans="9:9" customFormat="1" x14ac:dyDescent="0.35">
      <c r="I1078" s="29"/>
    </row>
    <row r="1079" spans="9:9" customFormat="1" x14ac:dyDescent="0.35">
      <c r="I1079" s="29"/>
    </row>
    <row r="1080" spans="9:9" customFormat="1" x14ac:dyDescent="0.35">
      <c r="I1080" s="29"/>
    </row>
    <row r="1081" spans="9:9" customFormat="1" x14ac:dyDescent="0.35">
      <c r="I1081" s="29"/>
    </row>
    <row r="1082" spans="9:9" customFormat="1" x14ac:dyDescent="0.35">
      <c r="I1082" s="29"/>
    </row>
    <row r="1083" spans="9:9" customFormat="1" x14ac:dyDescent="0.35">
      <c r="I1083" s="29"/>
    </row>
    <row r="1084" spans="9:9" customFormat="1" x14ac:dyDescent="0.35">
      <c r="I1084" s="29"/>
    </row>
    <row r="1085" spans="9:9" customFormat="1" x14ac:dyDescent="0.35">
      <c r="I1085" s="29"/>
    </row>
    <row r="1086" spans="9:9" customFormat="1" x14ac:dyDescent="0.35">
      <c r="I1086" s="29"/>
    </row>
    <row r="1087" spans="9:9" customFormat="1" x14ac:dyDescent="0.35">
      <c r="I1087" s="29"/>
    </row>
    <row r="1088" spans="9:9" customFormat="1" x14ac:dyDescent="0.35">
      <c r="I1088" s="29"/>
    </row>
    <row r="1089" spans="9:9" customFormat="1" x14ac:dyDescent="0.35">
      <c r="I1089" s="29"/>
    </row>
    <row r="1090" spans="9:9" customFormat="1" x14ac:dyDescent="0.35">
      <c r="I1090" s="29"/>
    </row>
    <row r="1091" spans="9:9" customFormat="1" x14ac:dyDescent="0.35">
      <c r="I1091" s="29"/>
    </row>
    <row r="1092" spans="9:9" customFormat="1" x14ac:dyDescent="0.35">
      <c r="I1092" s="29"/>
    </row>
    <row r="1093" spans="9:9" customFormat="1" x14ac:dyDescent="0.35">
      <c r="I1093" s="29"/>
    </row>
    <row r="1094" spans="9:9" customFormat="1" x14ac:dyDescent="0.35">
      <c r="I1094" s="29"/>
    </row>
    <row r="1095" spans="9:9" customFormat="1" x14ac:dyDescent="0.35">
      <c r="I1095" s="29"/>
    </row>
    <row r="1096" spans="9:9" customFormat="1" x14ac:dyDescent="0.35">
      <c r="I1096" s="29"/>
    </row>
    <row r="1097" spans="9:9" customFormat="1" x14ac:dyDescent="0.35">
      <c r="I1097" s="29"/>
    </row>
    <row r="1098" spans="9:9" customFormat="1" x14ac:dyDescent="0.35">
      <c r="I1098" s="29"/>
    </row>
    <row r="1099" spans="9:9" customFormat="1" x14ac:dyDescent="0.35">
      <c r="I1099" s="29"/>
    </row>
    <row r="1100" spans="9:9" customFormat="1" x14ac:dyDescent="0.35">
      <c r="I1100" s="29"/>
    </row>
    <row r="1101" spans="9:9" customFormat="1" x14ac:dyDescent="0.35">
      <c r="I1101" s="29"/>
    </row>
    <row r="1102" spans="9:9" customFormat="1" x14ac:dyDescent="0.35">
      <c r="I1102" s="29"/>
    </row>
    <row r="1103" spans="9:9" customFormat="1" x14ac:dyDescent="0.35">
      <c r="I1103" s="29"/>
    </row>
    <row r="1104" spans="9:9" customFormat="1" x14ac:dyDescent="0.35">
      <c r="I1104" s="29"/>
    </row>
    <row r="1105" spans="9:9" customFormat="1" x14ac:dyDescent="0.35">
      <c r="I1105" s="29"/>
    </row>
    <row r="1106" spans="9:9" customFormat="1" x14ac:dyDescent="0.35">
      <c r="I1106" s="29"/>
    </row>
    <row r="1107" spans="9:9" customFormat="1" x14ac:dyDescent="0.35">
      <c r="I1107" s="29"/>
    </row>
    <row r="1108" spans="9:9" customFormat="1" x14ac:dyDescent="0.35">
      <c r="I1108" s="29"/>
    </row>
    <row r="1109" spans="9:9" customFormat="1" x14ac:dyDescent="0.35">
      <c r="I1109" s="29"/>
    </row>
    <row r="1110" spans="9:9" customFormat="1" x14ac:dyDescent="0.35">
      <c r="I1110" s="29"/>
    </row>
    <row r="1111" spans="9:9" customFormat="1" x14ac:dyDescent="0.35">
      <c r="I1111" s="29"/>
    </row>
    <row r="1112" spans="9:9" customFormat="1" x14ac:dyDescent="0.35">
      <c r="I1112" s="29"/>
    </row>
    <row r="1113" spans="9:9" customFormat="1" x14ac:dyDescent="0.35">
      <c r="I1113" s="29"/>
    </row>
    <row r="1114" spans="9:9" customFormat="1" x14ac:dyDescent="0.35">
      <c r="I1114" s="29"/>
    </row>
    <row r="1115" spans="9:9" customFormat="1" x14ac:dyDescent="0.35">
      <c r="I1115" s="29"/>
    </row>
    <row r="1116" spans="9:9" customFormat="1" x14ac:dyDescent="0.35">
      <c r="I1116" s="29"/>
    </row>
    <row r="1117" spans="9:9" customFormat="1" x14ac:dyDescent="0.35">
      <c r="I1117" s="29"/>
    </row>
    <row r="1118" spans="9:9" customFormat="1" x14ac:dyDescent="0.35">
      <c r="I1118" s="29"/>
    </row>
    <row r="1119" spans="9:9" customFormat="1" x14ac:dyDescent="0.35">
      <c r="I1119" s="29"/>
    </row>
    <row r="1120" spans="9:9" customFormat="1" x14ac:dyDescent="0.35">
      <c r="I1120" s="29"/>
    </row>
    <row r="1121" spans="9:9" customFormat="1" x14ac:dyDescent="0.35">
      <c r="I1121" s="29"/>
    </row>
    <row r="1122" spans="9:9" customFormat="1" x14ac:dyDescent="0.35">
      <c r="I1122" s="29"/>
    </row>
    <row r="1123" spans="9:9" customFormat="1" x14ac:dyDescent="0.35">
      <c r="I1123" s="29"/>
    </row>
    <row r="1124" spans="9:9" customFormat="1" x14ac:dyDescent="0.35">
      <c r="I1124" s="29"/>
    </row>
    <row r="1125" spans="9:9" customFormat="1" x14ac:dyDescent="0.35">
      <c r="I1125" s="29"/>
    </row>
    <row r="1126" spans="9:9" customFormat="1" x14ac:dyDescent="0.35">
      <c r="I1126" s="29"/>
    </row>
    <row r="1127" spans="9:9" customFormat="1" x14ac:dyDescent="0.35">
      <c r="I1127" s="29"/>
    </row>
    <row r="1128" spans="9:9" customFormat="1" x14ac:dyDescent="0.35">
      <c r="I1128" s="29"/>
    </row>
    <row r="1129" spans="9:9" customFormat="1" x14ac:dyDescent="0.35">
      <c r="I1129" s="29"/>
    </row>
    <row r="1130" spans="9:9" customFormat="1" x14ac:dyDescent="0.35">
      <c r="I1130" s="29"/>
    </row>
    <row r="1131" spans="9:9" customFormat="1" x14ac:dyDescent="0.35">
      <c r="I1131" s="29"/>
    </row>
    <row r="1132" spans="9:9" customFormat="1" x14ac:dyDescent="0.35">
      <c r="I1132" s="29"/>
    </row>
    <row r="1133" spans="9:9" customFormat="1" x14ac:dyDescent="0.35">
      <c r="I1133" s="29"/>
    </row>
    <row r="1134" spans="9:9" customFormat="1" x14ac:dyDescent="0.35">
      <c r="I1134" s="29"/>
    </row>
    <row r="1135" spans="9:9" customFormat="1" x14ac:dyDescent="0.35">
      <c r="I1135" s="29"/>
    </row>
    <row r="1136" spans="9:9" customFormat="1" x14ac:dyDescent="0.35">
      <c r="I1136" s="29"/>
    </row>
    <row r="1137" spans="9:9" customFormat="1" x14ac:dyDescent="0.35">
      <c r="I1137" s="29"/>
    </row>
    <row r="1138" spans="9:9" customFormat="1" x14ac:dyDescent="0.35">
      <c r="I1138" s="29"/>
    </row>
    <row r="1139" spans="9:9" customFormat="1" x14ac:dyDescent="0.35">
      <c r="I1139" s="29"/>
    </row>
    <row r="1140" spans="9:9" customFormat="1" x14ac:dyDescent="0.35">
      <c r="I1140" s="29"/>
    </row>
    <row r="1141" spans="9:9" customFormat="1" x14ac:dyDescent="0.35">
      <c r="I1141" s="29"/>
    </row>
    <row r="1142" spans="9:9" customFormat="1" x14ac:dyDescent="0.35">
      <c r="I1142" s="29"/>
    </row>
    <row r="1143" spans="9:9" customFormat="1" x14ac:dyDescent="0.35">
      <c r="I1143" s="29"/>
    </row>
    <row r="1144" spans="9:9" customFormat="1" x14ac:dyDescent="0.35">
      <c r="I1144" s="29"/>
    </row>
    <row r="1145" spans="9:9" customFormat="1" x14ac:dyDescent="0.35">
      <c r="I1145" s="29"/>
    </row>
    <row r="1146" spans="9:9" customFormat="1" x14ac:dyDescent="0.35">
      <c r="I1146" s="29"/>
    </row>
    <row r="1147" spans="9:9" customFormat="1" x14ac:dyDescent="0.35">
      <c r="I1147" s="29"/>
    </row>
    <row r="1148" spans="9:9" customFormat="1" x14ac:dyDescent="0.35">
      <c r="I1148" s="29"/>
    </row>
    <row r="1149" spans="9:9" customFormat="1" x14ac:dyDescent="0.35">
      <c r="I1149" s="29"/>
    </row>
    <row r="1150" spans="9:9" customFormat="1" x14ac:dyDescent="0.35">
      <c r="I1150" s="29"/>
    </row>
    <row r="1151" spans="9:9" customFormat="1" x14ac:dyDescent="0.35">
      <c r="I1151" s="29"/>
    </row>
    <row r="1152" spans="9:9" customFormat="1" x14ac:dyDescent="0.35">
      <c r="I1152" s="29"/>
    </row>
    <row r="1153" spans="9:9" customFormat="1" x14ac:dyDescent="0.35">
      <c r="I1153" s="29"/>
    </row>
    <row r="1154" spans="9:9" customFormat="1" x14ac:dyDescent="0.35">
      <c r="I1154" s="29"/>
    </row>
    <row r="1155" spans="9:9" customFormat="1" x14ac:dyDescent="0.35">
      <c r="I1155" s="29"/>
    </row>
    <row r="1156" spans="9:9" customFormat="1" x14ac:dyDescent="0.35">
      <c r="I1156" s="29"/>
    </row>
    <row r="1157" spans="9:9" customFormat="1" x14ac:dyDescent="0.35">
      <c r="I1157" s="29"/>
    </row>
    <row r="1158" spans="9:9" customFormat="1" x14ac:dyDescent="0.35">
      <c r="I1158" s="29"/>
    </row>
    <row r="1159" spans="9:9" customFormat="1" x14ac:dyDescent="0.35">
      <c r="I1159" s="29"/>
    </row>
    <row r="1160" spans="9:9" customFormat="1" x14ac:dyDescent="0.35">
      <c r="I1160" s="29"/>
    </row>
    <row r="1161" spans="9:9" customFormat="1" x14ac:dyDescent="0.35">
      <c r="I1161" s="29"/>
    </row>
    <row r="1162" spans="9:9" customFormat="1" x14ac:dyDescent="0.35">
      <c r="I1162" s="29"/>
    </row>
    <row r="1163" spans="9:9" customFormat="1" x14ac:dyDescent="0.35">
      <c r="I1163" s="29"/>
    </row>
    <row r="1164" spans="9:9" customFormat="1" x14ac:dyDescent="0.35">
      <c r="I1164" s="29"/>
    </row>
    <row r="1165" spans="9:9" customFormat="1" x14ac:dyDescent="0.35">
      <c r="I1165" s="29"/>
    </row>
    <row r="1166" spans="9:9" customFormat="1" x14ac:dyDescent="0.35">
      <c r="I1166" s="29"/>
    </row>
    <row r="1167" spans="9:9" customFormat="1" x14ac:dyDescent="0.35">
      <c r="I1167" s="29"/>
    </row>
    <row r="1168" spans="9:9" customFormat="1" x14ac:dyDescent="0.35">
      <c r="I1168" s="29"/>
    </row>
    <row r="1169" spans="9:9" customFormat="1" x14ac:dyDescent="0.35">
      <c r="I1169" s="29"/>
    </row>
    <row r="1170" spans="9:9" customFormat="1" x14ac:dyDescent="0.35">
      <c r="I1170" s="29"/>
    </row>
    <row r="1171" spans="9:9" customFormat="1" x14ac:dyDescent="0.35">
      <c r="I1171" s="29"/>
    </row>
    <row r="1172" spans="9:9" customFormat="1" x14ac:dyDescent="0.35">
      <c r="I1172" s="29"/>
    </row>
    <row r="1173" spans="9:9" customFormat="1" x14ac:dyDescent="0.35">
      <c r="I1173" s="29"/>
    </row>
    <row r="1174" spans="9:9" customFormat="1" x14ac:dyDescent="0.35">
      <c r="I1174" s="29"/>
    </row>
    <row r="1175" spans="9:9" customFormat="1" x14ac:dyDescent="0.35">
      <c r="I1175" s="29"/>
    </row>
    <row r="1176" spans="9:9" customFormat="1" x14ac:dyDescent="0.35">
      <c r="I1176" s="29"/>
    </row>
    <row r="1177" spans="9:9" customFormat="1" x14ac:dyDescent="0.35">
      <c r="I1177" s="29"/>
    </row>
    <row r="1178" spans="9:9" customFormat="1" x14ac:dyDescent="0.35">
      <c r="I1178" s="29"/>
    </row>
    <row r="1179" spans="9:9" customFormat="1" x14ac:dyDescent="0.35">
      <c r="I1179" s="29"/>
    </row>
    <row r="1180" spans="9:9" customFormat="1" x14ac:dyDescent="0.35">
      <c r="I1180" s="29"/>
    </row>
    <row r="1181" spans="9:9" customFormat="1" x14ac:dyDescent="0.35">
      <c r="I1181" s="29"/>
    </row>
    <row r="1182" spans="9:9" customFormat="1" x14ac:dyDescent="0.35">
      <c r="I1182" s="29"/>
    </row>
    <row r="1183" spans="9:9" customFormat="1" x14ac:dyDescent="0.35">
      <c r="I1183" s="29"/>
    </row>
    <row r="1184" spans="9:9" customFormat="1" x14ac:dyDescent="0.35">
      <c r="I1184" s="29"/>
    </row>
    <row r="1185" spans="9:9" customFormat="1" x14ac:dyDescent="0.35">
      <c r="I1185" s="29"/>
    </row>
    <row r="1186" spans="9:9" customFormat="1" x14ac:dyDescent="0.35">
      <c r="I1186" s="29"/>
    </row>
    <row r="1187" spans="9:9" customFormat="1" x14ac:dyDescent="0.35">
      <c r="I1187" s="29"/>
    </row>
    <row r="1188" spans="9:9" customFormat="1" x14ac:dyDescent="0.35">
      <c r="I1188" s="29"/>
    </row>
    <row r="1189" spans="9:9" customFormat="1" x14ac:dyDescent="0.35">
      <c r="I1189" s="29"/>
    </row>
    <row r="1190" spans="9:9" customFormat="1" x14ac:dyDescent="0.35">
      <c r="I1190" s="29"/>
    </row>
    <row r="1191" spans="9:9" customFormat="1" x14ac:dyDescent="0.35">
      <c r="I1191" s="29"/>
    </row>
    <row r="1192" spans="9:9" customFormat="1" x14ac:dyDescent="0.35">
      <c r="I1192" s="29"/>
    </row>
    <row r="1193" spans="9:9" customFormat="1" x14ac:dyDescent="0.35">
      <c r="I1193" s="29"/>
    </row>
    <row r="1194" spans="9:9" customFormat="1" x14ac:dyDescent="0.35">
      <c r="I1194" s="29"/>
    </row>
    <row r="1195" spans="9:9" customFormat="1" x14ac:dyDescent="0.35">
      <c r="I1195" s="29"/>
    </row>
    <row r="1196" spans="9:9" customFormat="1" x14ac:dyDescent="0.35">
      <c r="I1196" s="29"/>
    </row>
    <row r="1197" spans="9:9" customFormat="1" x14ac:dyDescent="0.35">
      <c r="I1197" s="29"/>
    </row>
  </sheetData>
  <mergeCells count="4">
    <mergeCell ref="D1:E1"/>
    <mergeCell ref="F1:I1"/>
    <mergeCell ref="J1:K1"/>
    <mergeCell ref="L1:U1"/>
  </mergeCells>
  <phoneticPr fontId="6"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2FBC8-46D3-4958-9609-5397CCD8304A}">
  <dimension ref="A1:F21"/>
  <sheetViews>
    <sheetView workbookViewId="0">
      <selection activeCell="C4" sqref="C4"/>
    </sheetView>
  </sheetViews>
  <sheetFormatPr baseColWidth="10" defaultRowHeight="14.5" x14ac:dyDescent="0.35"/>
  <cols>
    <col min="2" max="2" width="20.453125" style="39" customWidth="1"/>
    <col min="3" max="3" width="41.08984375" customWidth="1"/>
    <col min="6" max="6" width="17" customWidth="1"/>
  </cols>
  <sheetData>
    <row r="1" spans="1:6" s="39" customFormat="1" ht="39" x14ac:dyDescent="0.3">
      <c r="A1" s="36"/>
      <c r="B1" s="37" t="s">
        <v>19</v>
      </c>
      <c r="C1" s="37" t="s">
        <v>18</v>
      </c>
      <c r="D1" s="37" t="s">
        <v>21</v>
      </c>
      <c r="E1" s="37" t="s">
        <v>23</v>
      </c>
      <c r="F1" s="38" t="s">
        <v>59</v>
      </c>
    </row>
    <row r="2" spans="1:6" ht="42.5" x14ac:dyDescent="0.35">
      <c r="A2" s="3">
        <v>1</v>
      </c>
      <c r="B2" s="38" t="s">
        <v>20</v>
      </c>
      <c r="C2" s="17" t="s">
        <v>38</v>
      </c>
      <c r="D2" s="16" t="s">
        <v>40</v>
      </c>
      <c r="E2" s="4">
        <v>14</v>
      </c>
      <c r="F2" s="14">
        <v>0.78600000000000003</v>
      </c>
    </row>
    <row r="3" spans="1:6" ht="29" x14ac:dyDescent="0.35">
      <c r="A3" s="3">
        <v>2</v>
      </c>
      <c r="B3" s="38" t="s">
        <v>0</v>
      </c>
      <c r="C3" s="17" t="s">
        <v>39</v>
      </c>
      <c r="D3" s="16" t="s">
        <v>40</v>
      </c>
      <c r="E3" s="4">
        <v>102</v>
      </c>
      <c r="F3" s="4" t="s">
        <v>42</v>
      </c>
    </row>
    <row r="4" spans="1:6" ht="42.5" x14ac:dyDescent="0.35">
      <c r="A4" s="3">
        <v>3</v>
      </c>
      <c r="B4" s="38" t="s">
        <v>1</v>
      </c>
      <c r="C4" s="17" t="s">
        <v>44</v>
      </c>
      <c r="D4" s="16" t="s">
        <v>46</v>
      </c>
      <c r="E4" s="4">
        <v>33</v>
      </c>
      <c r="F4" s="13">
        <v>0.49</v>
      </c>
    </row>
    <row r="5" spans="1:6" ht="43" customHeight="1" x14ac:dyDescent="0.35">
      <c r="A5" s="3">
        <v>4</v>
      </c>
      <c r="B5" s="38" t="s">
        <v>2</v>
      </c>
      <c r="C5" s="17" t="s">
        <v>49</v>
      </c>
      <c r="D5" s="4" t="s">
        <v>48</v>
      </c>
      <c r="E5" s="4">
        <v>8</v>
      </c>
      <c r="F5" s="4"/>
    </row>
    <row r="6" spans="1:6" ht="52" x14ac:dyDescent="0.35">
      <c r="A6" s="3">
        <v>5</v>
      </c>
      <c r="B6" s="38" t="s">
        <v>3</v>
      </c>
      <c r="C6" s="19" t="s">
        <v>57</v>
      </c>
      <c r="D6" s="4" t="s">
        <v>56</v>
      </c>
      <c r="E6" s="4">
        <v>21</v>
      </c>
      <c r="F6" s="26" t="s">
        <v>95</v>
      </c>
    </row>
    <row r="7" spans="1:6" ht="42.5" x14ac:dyDescent="0.35">
      <c r="A7" s="3">
        <v>6</v>
      </c>
      <c r="B7" s="38" t="s">
        <v>4</v>
      </c>
      <c r="C7" s="17" t="s">
        <v>60</v>
      </c>
      <c r="D7" s="4" t="s">
        <v>61</v>
      </c>
      <c r="E7" s="4">
        <v>20</v>
      </c>
      <c r="F7" s="27"/>
    </row>
    <row r="8" spans="1:6" ht="29" x14ac:dyDescent="0.35">
      <c r="A8" s="3">
        <v>7</v>
      </c>
      <c r="B8" s="38" t="s">
        <v>5</v>
      </c>
      <c r="C8" s="20" t="s">
        <v>62</v>
      </c>
      <c r="D8" s="11" t="s">
        <v>63</v>
      </c>
      <c r="E8" s="4">
        <v>21</v>
      </c>
      <c r="F8" s="4" t="s">
        <v>96</v>
      </c>
    </row>
    <row r="9" spans="1:6" ht="72.5" x14ac:dyDescent="0.35">
      <c r="A9" s="3">
        <v>8</v>
      </c>
      <c r="B9" s="38" t="s">
        <v>6</v>
      </c>
      <c r="C9" s="20" t="s">
        <v>65</v>
      </c>
      <c r="D9" s="4" t="s">
        <v>48</v>
      </c>
      <c r="E9" s="4">
        <v>30</v>
      </c>
      <c r="F9" s="26"/>
    </row>
    <row r="10" spans="1:6" ht="29" x14ac:dyDescent="0.35">
      <c r="A10" s="3">
        <v>9</v>
      </c>
      <c r="B10" s="38" t="s">
        <v>7</v>
      </c>
      <c r="C10" s="20" t="s">
        <v>68</v>
      </c>
      <c r="D10" s="12" t="s">
        <v>67</v>
      </c>
      <c r="E10" s="4">
        <v>200</v>
      </c>
      <c r="F10" s="26"/>
    </row>
    <row r="11" spans="1:6" ht="29" x14ac:dyDescent="0.35">
      <c r="A11" s="3">
        <v>10</v>
      </c>
      <c r="B11" s="38" t="s">
        <v>8</v>
      </c>
      <c r="C11" s="21" t="s">
        <v>70</v>
      </c>
      <c r="D11" s="3" t="s">
        <v>71</v>
      </c>
      <c r="E11" s="4">
        <v>22</v>
      </c>
      <c r="F11" s="27"/>
    </row>
    <row r="12" spans="1:6" ht="58" x14ac:dyDescent="0.35">
      <c r="A12" s="3">
        <v>11</v>
      </c>
      <c r="B12" s="38" t="s">
        <v>9</v>
      </c>
      <c r="C12" s="21" t="s">
        <v>73</v>
      </c>
      <c r="D12" s="4" t="s">
        <v>74</v>
      </c>
      <c r="E12" s="4">
        <v>7</v>
      </c>
      <c r="F12" s="26"/>
    </row>
    <row r="13" spans="1:6" ht="28" x14ac:dyDescent="0.35">
      <c r="A13" s="3">
        <v>12</v>
      </c>
      <c r="B13" s="38" t="s">
        <v>10</v>
      </c>
      <c r="C13" s="18" t="s">
        <v>75</v>
      </c>
      <c r="D13" s="4" t="s">
        <v>56</v>
      </c>
      <c r="E13" s="4">
        <v>25</v>
      </c>
      <c r="F13" s="26"/>
    </row>
    <row r="14" spans="1:6" ht="42" x14ac:dyDescent="0.35">
      <c r="A14" s="3">
        <v>13</v>
      </c>
      <c r="B14" s="38" t="s">
        <v>11</v>
      </c>
      <c r="C14" s="18" t="s">
        <v>77</v>
      </c>
      <c r="D14" s="4" t="s">
        <v>48</v>
      </c>
      <c r="E14" s="4"/>
      <c r="F14" s="27"/>
    </row>
    <row r="15" spans="1:6" ht="56" x14ac:dyDescent="0.35">
      <c r="A15" s="3">
        <v>14</v>
      </c>
      <c r="B15" s="38" t="s">
        <v>12</v>
      </c>
      <c r="C15" s="18" t="s">
        <v>78</v>
      </c>
      <c r="D15" s="4" t="s">
        <v>101</v>
      </c>
      <c r="E15" s="4">
        <v>73</v>
      </c>
      <c r="F15" s="26"/>
    </row>
    <row r="16" spans="1:6" ht="29" x14ac:dyDescent="0.35">
      <c r="A16" s="3">
        <v>15</v>
      </c>
      <c r="B16" s="38" t="s">
        <v>13</v>
      </c>
      <c r="C16" s="18" t="s">
        <v>79</v>
      </c>
      <c r="D16" s="4" t="s">
        <v>100</v>
      </c>
      <c r="E16" s="4">
        <v>112</v>
      </c>
      <c r="F16" s="26"/>
    </row>
    <row r="17" spans="1:6" ht="42" x14ac:dyDescent="0.35">
      <c r="A17" s="3">
        <v>16</v>
      </c>
      <c r="B17" s="38" t="s">
        <v>14</v>
      </c>
      <c r="C17" s="18" t="s">
        <v>80</v>
      </c>
      <c r="D17" s="4" t="s">
        <v>81</v>
      </c>
      <c r="E17" s="23">
        <v>8</v>
      </c>
      <c r="F17" s="26"/>
    </row>
    <row r="18" spans="1:6" ht="42" x14ac:dyDescent="0.35">
      <c r="A18" s="3">
        <v>17</v>
      </c>
      <c r="B18" s="38" t="s">
        <v>15</v>
      </c>
      <c r="C18" s="18" t="s">
        <v>82</v>
      </c>
      <c r="D18" s="4" t="s">
        <v>83</v>
      </c>
      <c r="E18" s="4">
        <v>60</v>
      </c>
      <c r="F18" s="26"/>
    </row>
    <row r="19" spans="1:6" ht="56" x14ac:dyDescent="0.35">
      <c r="A19" s="3">
        <v>18</v>
      </c>
      <c r="B19" s="38" t="s">
        <v>16</v>
      </c>
      <c r="C19" s="18" t="s">
        <v>86</v>
      </c>
      <c r="D19" s="4" t="s">
        <v>61</v>
      </c>
      <c r="E19" s="4">
        <v>19</v>
      </c>
      <c r="F19" s="28" t="s">
        <v>87</v>
      </c>
    </row>
    <row r="20" spans="1:6" ht="56" x14ac:dyDescent="0.35">
      <c r="A20" s="3">
        <v>19</v>
      </c>
      <c r="B20" s="38" t="s">
        <v>17</v>
      </c>
      <c r="C20" s="18" t="s">
        <v>88</v>
      </c>
      <c r="D20" s="4" t="s">
        <v>90</v>
      </c>
      <c r="E20" s="4">
        <v>84</v>
      </c>
      <c r="F20" s="26" t="s">
        <v>94</v>
      </c>
    </row>
    <row r="21" spans="1:6" ht="56" x14ac:dyDescent="0.35">
      <c r="A21" s="3">
        <v>20</v>
      </c>
      <c r="B21" s="38" t="s">
        <v>37</v>
      </c>
      <c r="C21" s="18" t="s">
        <v>91</v>
      </c>
      <c r="D21" s="24" t="s">
        <v>92</v>
      </c>
      <c r="E21" s="23">
        <v>3</v>
      </c>
      <c r="F21" s="26"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Feuil1</vt:lpstr>
      <vt:lpstr>Feuil2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dc:creator>
  <cp:lastModifiedBy>admini</cp:lastModifiedBy>
  <cp:lastPrinted>2025-10-01T09:05:40Z</cp:lastPrinted>
  <dcterms:created xsi:type="dcterms:W3CDTF">2025-09-30T17:02:31Z</dcterms:created>
  <dcterms:modified xsi:type="dcterms:W3CDTF">2025-10-14T11:10:04Z</dcterms:modified>
</cp:coreProperties>
</file>